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zhaor\MASTER\UNIVERSITY\2\ESC204 - Praxis III\"/>
    </mc:Choice>
  </mc:AlternateContent>
  <xr:revisionPtr revIDLastSave="0" documentId="13_ncr:1_{C912AEE1-A905-488F-979A-AB7D42ACC665}" xr6:coauthVersionLast="47" xr6:coauthVersionMax="47" xr10:uidLastSave="{00000000-0000-0000-0000-000000000000}"/>
  <bookViews>
    <workbookView xWindow="-23148" yWindow="-108" windowWidth="23256" windowHeight="12456" activeTab="1" xr2:uid="{00000000-000D-0000-FFFF-FFFF00000000}"/>
  </bookViews>
  <sheets>
    <sheet name="OrdersNew" sheetId="17" r:id="rId1"/>
    <sheet name="PurchaseOrder" sheetId="30" r:id="rId2"/>
  </sheets>
  <functionGroups builtInGroupCount="19"/>
  <definedNames>
    <definedName name="_categories">#REF!</definedName>
    <definedName name="_components">#REF!</definedName>
    <definedName name="_connect">#REF!</definedName>
    <definedName name="_MCU">#REF!</definedName>
    <definedName name="_modules">#REF!</definedName>
    <definedName name="_motors">#REF!</definedName>
    <definedName name="_power">#REF!</definedName>
    <definedName name="_sensors">#REF!</definedName>
    <definedName name="CATEGORY">#REF!</definedName>
    <definedName name="Comp">#REF!</definedName>
    <definedName name="COMPONENTS">#REF!</definedName>
    <definedName name="Connect">#REF!</definedName>
    <definedName name="COST">#REF!</definedName>
    <definedName name="FullName" localSheetId="0">#REF!</definedName>
    <definedName name="FullName">#REF!</definedName>
    <definedName name="FullTable" localSheetId="0">#REF!</definedName>
    <definedName name="FullTable">#REF!</definedName>
    <definedName name="Image" localSheetId="0">#REF!</definedName>
    <definedName name="Image">#REF!</definedName>
    <definedName name="IMAGES">#REF!</definedName>
    <definedName name="Motor">#REF!</definedName>
    <definedName name="Power">#REF!</definedName>
    <definedName name="_xlnm.Print_Area" localSheetId="1">PurchaseOrder!$D$1:$I$39</definedName>
  </definedNames>
  <calcPr calcId="191028"/>
  <pivotCaches>
    <pivotCache cacheId="0" r:id="rId3"/>
    <pivotCache cacheId="1" r:id="rId4"/>
    <pivotCache cacheId="2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30" l="1"/>
  <c r="I7" i="30"/>
  <c r="H1" i="17" a="1"/>
  <c r="H1" i="17" s="1"/>
  <c r="I4" i="3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2000000}" odcFile="C:\Users\Lorena\Downloads\queryCourseKit.iqy" keepAlive="1" name="queryCourseKit" type="5" refreshedVersion="6" minRefreshableVersion="3" saveData="1">
    <dbPr connection="Provider=Microsoft.Office.List.OLEDB.2.0;Data Source=&quot;&quot;;ApplicationName=Excel;Version=12.0.0.0" command="&lt;LIST&gt;&lt;VIEWGUID&gt;47162AD7-B24C-4887-99CF-8B061B4B6204&lt;/VIEWGUID&gt;&lt;LISTNAME&gt;{4EA97AD9-13A0-4D44-9878-BC743412BF1D}&lt;/LISTNAME&gt;&lt;LISTWEB&gt;https://utoronto.sharepoint.com/sites/fase-myhalfabrication/_vti_bin&lt;/LISTWEB&gt;&lt;LISTSUBWEB&gt;&lt;/LISTSUBWEB&gt;&lt;ROOTFOLDER&gt;&lt;/ROOTFOLDER&gt;&lt;/LIST&gt;" commandType="5"/>
  </connection>
  <connection id="2" xr16:uid="{A78EC274-E1AB-441D-A0A4-D75AF0CBDA50}" odcFile="C:\Users\Staff\AppData\Local\Temp\query.iqy" keepAlive="1" name="queryElectronicsWorks1" type="5" refreshedVersion="6" minRefreshableVersion="3" saveData="1">
    <dbPr connection="Provider=Microsoft.Office.List.OLEDB.2.0;Data Source=&quot;&quot;;ApplicationName=Excel;Version=12.0.0.0" command="&lt;LIST&gt;&lt;VIEWGUID&gt;63D050C7-CD69-4C30-B79C-8E602F41BCEF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3" xr16:uid="{2D2AC4A5-FCE9-4A1B-81E4-10828ACBAF9F}" odcFile="C:\Users\Staff\AppData\Local\Temp\query-2.iqy" keepAlive="1" name="query-MaterialsNew" type="5" refreshedVersion="6" minRefreshableVersion="3" saveData="1">
    <dbPr connection="Provider=Microsoft.Office.List.OLEDB.2.0;Data Source=&quot;&quot;;ApplicationName=Excel;Version=12.0.0.0" command="&lt;LIST&gt;&lt;VIEWGUID&gt;606793A8-71D1-43F6-97A6-DF54E04A3F8D&lt;/VIEWGUID&gt;&lt;LISTNAME&gt;{AEB7D832-2F72-4291-AAE6-855B9448C777}&lt;/LISTNAME&gt;&lt;LISTWEB&gt;https://utoronto.sharepoint.com/sites/fase-myhalfabrication/_vti_bin&lt;/LISTWEB&gt;&lt;LISTSUBWEB&gt;&lt;/LISTSUBWEB&gt;&lt;ROOTFOLDER&gt;&lt;/ROOTFOLDER&gt;&lt;/LIST&gt;" commandType="5"/>
  </connection>
  <connection id="4" xr16:uid="{364FE50C-EA05-47E5-850D-A8B51371AC11}" odcFile="C:\Users\Staff\AppData\Local\Temp\query-3.iqy" keepAlive="1" name="query-Mechatronics" type="5" refreshedVersion="6" minRefreshableVersion="3" saveData="1">
    <dbPr connection="Provider=Microsoft.Office.List.OLEDB.2.0;Data Source=&quot;&quot;;ApplicationName=Excel;Version=12.0.0.0" command="&lt;LIST&gt;&lt;VIEWGUID&gt;05E7175B-9766-4FD8-81FD-3D7C502A96C5&lt;/VIEWGUID&gt;&lt;LISTNAME&gt;{95AFCDF0-A858-4BAE-BDF5-2A4B150E6725}&lt;/LISTNAME&gt;&lt;LISTWEB&gt;https://utoronto.sharepoint.com/sites/fase-myhalfabrication/_vti_bin&lt;/LISTWEB&gt;&lt;LISTSUBWEB&gt;&lt;/LISTSUBWEB&gt;&lt;ROOTFOLDER&gt;&lt;/ROOTFOLDER&gt;&lt;/LIST&gt;" commandType="5"/>
  </connection>
  <connection id="5" xr16:uid="{00000000-0015-0000-FFFF-FFFF04000000}" odcFile="C:\Users\Lorena\Downloads\querySpecialtyHardware.iqy" keepAlive="1" name="querySpecialtyHardware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6" xr16:uid="{D0E87A97-7F93-4B0D-87CE-C9EE308FD9C3}" odcFile="C:\Users\Staff\AppData\Local\Temp\query-3.iqy" keepAlive="1" name="query-SpecialtyHardware" type="5" refreshedVersion="7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  <connection id="7" xr16:uid="{439DFF1A-2495-412E-BFDC-414051D65475}" odcFile="C:\Users\Staff\AppData\Local\Temp\query-1.iqy" keepAlive="1" name="query-SpecialtyhardwareWorks1" type="5" refreshedVersion="6" minRefreshableVersion="3" saveData="1">
    <dbPr connection="Provider=Microsoft.Office.List.OLEDB.2.0;Data Source=&quot;&quot;;ApplicationName=Excel;Version=12.0.0.0" command="&lt;LIST&gt;&lt;VIEWGUID&gt;34937358-9666-454C-B140-E181B570CB73&lt;/VIEWGUID&gt;&lt;LISTNAME&gt;{4611DAC1-A11E-4EED-9F9E-4A2ABDCD2406}&lt;/LISTNAME&gt;&lt;LISTWEB&gt;https://utoronto.sharepoint.com/sites/fase-myhalfabrication/_vti_bin&lt;/LISTWEB&gt;&lt;LISTSUBWEB&gt;&lt;/LISTSUBWEB&gt;&lt;ROOTFOLDER&gt;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<sst xmlns="http://schemas.openxmlformats.org/spreadsheetml/2006/main" count="995" uniqueCount="343">
  <si>
    <t>UtorID</t>
  </si>
  <si>
    <t>Mechatronics List</t>
  </si>
  <si>
    <t>Materials List</t>
  </si>
  <si>
    <t>Hardware List</t>
  </si>
  <si>
    <t>Filename</t>
  </si>
  <si>
    <t>Category</t>
  </si>
  <si>
    <t>Spec sheet</t>
  </si>
  <si>
    <t>RentalCost</t>
  </si>
  <si>
    <t>Rental</t>
  </si>
  <si>
    <t>UnitSize</t>
  </si>
  <si>
    <t>Cost</t>
  </si>
  <si>
    <t>Specs</t>
  </si>
  <si>
    <t>Acrylic Black 1/4"</t>
  </si>
  <si>
    <t>Acrylic</t>
  </si>
  <si>
    <t>18"x24"</t>
  </si>
  <si>
    <t>Acrylic Black 1/8"</t>
  </si>
  <si>
    <t>(blank)</t>
  </si>
  <si>
    <t>Acrylic Clear 1/16"</t>
  </si>
  <si>
    <t>Acrylic Clear 1/4"</t>
  </si>
  <si>
    <t>Acrylic Clear 1/8"</t>
  </si>
  <si>
    <t>Acrylic Colored 1/8"</t>
  </si>
  <si>
    <t>Acrylic Frost 1/16"</t>
  </si>
  <si>
    <t>Acrylic Frost 1/4"</t>
  </si>
  <si>
    <t>Acrylic Frost 1/8"</t>
  </si>
  <si>
    <t>Acrylic White 1/4"</t>
  </si>
  <si>
    <t>Acrylic White 1/8"</t>
  </si>
  <si>
    <t>Balsa block 1"x1"</t>
  </si>
  <si>
    <t>Balsa Block</t>
  </si>
  <si>
    <t>18"</t>
  </si>
  <si>
    <t>Balsa block 2"x2"</t>
  </si>
  <si>
    <t>Balsa block 3"x3"</t>
  </si>
  <si>
    <t>MCU</t>
  </si>
  <si>
    <t>Balsa sheet 1/16"</t>
  </si>
  <si>
    <t>Balsa sheet</t>
  </si>
  <si>
    <t>3"x12"</t>
  </si>
  <si>
    <t>6"x12"</t>
  </si>
  <si>
    <t>Arduino UNO R3</t>
  </si>
  <si>
    <t>https://www.farnell.com/datasheets/1682209.pdf
https://www.farnell.com/datasheets/1682209.pdf</t>
  </si>
  <si>
    <t>Balsa sheet 1/32""</t>
  </si>
  <si>
    <t>Balsa sheet 1/8"</t>
  </si>
  <si>
    <t>6"x24"</t>
  </si>
  <si>
    <t>Balsa sticks soft (specify size)</t>
  </si>
  <si>
    <t>Sticks</t>
  </si>
  <si>
    <t>12"</t>
  </si>
  <si>
    <t>Bass stick 1 x 1"</t>
  </si>
  <si>
    <t>12"x12"</t>
  </si>
  <si>
    <t>Bass stick 1/16 x 1/16"</t>
  </si>
  <si>
    <t>Bass stick 1/2 x 1/2"</t>
  </si>
  <si>
    <t>Bass stick 1/32 x 1/32"</t>
  </si>
  <si>
    <t>Bass stick 1/4 x 1/4"</t>
  </si>
  <si>
    <t>Bass stick 1/8 x 1/2"</t>
  </si>
  <si>
    <t>Bass stick 1/8 x 1/4"</t>
  </si>
  <si>
    <t>Bass stick 1/8 x 1/8"</t>
  </si>
  <si>
    <t>Bass stick 1/8 x 3/4"</t>
  </si>
  <si>
    <t>Bass stick 1/8 x 3/8"</t>
  </si>
  <si>
    <t>Bass stick 3/4 x 3/4"</t>
  </si>
  <si>
    <t>Bass stick 3/8 x 3/8"</t>
  </si>
  <si>
    <t>Basswood stick square (specify size)</t>
  </si>
  <si>
    <t>Birch dowel 1"</t>
  </si>
  <si>
    <t>Dowel</t>
  </si>
  <si>
    <t>Birch dowel 1/2"</t>
  </si>
  <si>
    <t>Birch dowel 1/4"</t>
  </si>
  <si>
    <t>Birch dowel 1/8"</t>
  </si>
  <si>
    <t>Birch dowel 1-1/4"</t>
  </si>
  <si>
    <t>Birch dowel 1-1/8"</t>
  </si>
  <si>
    <t>Birch dowel 3/16"</t>
  </si>
  <si>
    <t>Birch dowel 3/4"</t>
  </si>
  <si>
    <t>Birch dowel 3/8"</t>
  </si>
  <si>
    <t>Birch dowel 5/16"</t>
  </si>
  <si>
    <t>Birch dowel 5/8"</t>
  </si>
  <si>
    <t>Birch dowel 7/16"</t>
  </si>
  <si>
    <t>Birch dowel 7/8"</t>
  </si>
  <si>
    <t>Birch dowel round (specify size)</t>
  </si>
  <si>
    <t>Birch Ply 1/2"</t>
  </si>
  <si>
    <t>Birch Ply</t>
  </si>
  <si>
    <t>Birch ply 1/32"</t>
  </si>
  <si>
    <t>Birch ply 1/4"</t>
  </si>
  <si>
    <t>Birch Ply 1/8"</t>
  </si>
  <si>
    <t>Birch Ply 3/4"</t>
  </si>
  <si>
    <t>Cardboard 3/16"</t>
  </si>
  <si>
    <t>Cardboard</t>
  </si>
  <si>
    <t>30"x40"</t>
  </si>
  <si>
    <t>Cardboard 5/32"</t>
  </si>
  <si>
    <t>Cardboard Double Wall 1/4"</t>
  </si>
  <si>
    <t>24"x48"</t>
  </si>
  <si>
    <t>Cardboard tube 2"</t>
  </si>
  <si>
    <t>36"</t>
  </si>
  <si>
    <t>Cardstock</t>
  </si>
  <si>
    <t>8.5x11"</t>
  </si>
  <si>
    <t>Clear vinyl sheet</t>
  </si>
  <si>
    <t>Vynil Sheet</t>
  </si>
  <si>
    <t>Corrugated Plastic</t>
  </si>
  <si>
    <t>EPS Foam White 1/2"</t>
  </si>
  <si>
    <t>Foam</t>
  </si>
  <si>
    <t>EPS Foam White 2"</t>
  </si>
  <si>
    <t>EVA black 1/2"</t>
  </si>
  <si>
    <t>EVA</t>
  </si>
  <si>
    <t>EVA black 1/4"</t>
  </si>
  <si>
    <t>EVA black 1/8"</t>
  </si>
  <si>
    <t>Flexible plywood 13/64"</t>
  </si>
  <si>
    <t>Flex plywood</t>
  </si>
  <si>
    <t>Flexible plywood 5/16"</t>
  </si>
  <si>
    <t>Foam core black 3/16"</t>
  </si>
  <si>
    <t>30"x20"</t>
  </si>
  <si>
    <t>Foam core white 1/8"</t>
  </si>
  <si>
    <t>20"x30"</t>
  </si>
  <si>
    <t>Foam core white 3/16"</t>
  </si>
  <si>
    <t>Honeycomb Board 1/2"</t>
  </si>
  <si>
    <t>Maple board 1"</t>
  </si>
  <si>
    <t>Board</t>
  </si>
  <si>
    <t>Mat Board CIV102</t>
  </si>
  <si>
    <t>1 unit</t>
  </si>
  <si>
    <t>MDF 1/2"</t>
  </si>
  <si>
    <t>MDF</t>
  </si>
  <si>
    <t>MDF 1/4"</t>
  </si>
  <si>
    <t>MDF 1/8"</t>
  </si>
  <si>
    <t>Paperboard 1/16"</t>
  </si>
  <si>
    <t>Paperboard 1/32"</t>
  </si>
  <si>
    <t>Particleboard 1/2"</t>
  </si>
  <si>
    <t>Particleboard 3/8"</t>
  </si>
  <si>
    <t>PE foam White 1/2"</t>
  </si>
  <si>
    <t>Pine board 12"</t>
  </si>
  <si>
    <t>24"</t>
  </si>
  <si>
    <t>PVC Pipe 1"</t>
  </si>
  <si>
    <t>PVC Pipe</t>
  </si>
  <si>
    <t>PVC Pipe 1/2"</t>
  </si>
  <si>
    <t>PVC Pipe 3/4"</t>
  </si>
  <si>
    <t>Spruce 1x2</t>
  </si>
  <si>
    <t>Spruce</t>
  </si>
  <si>
    <t>Spruce 2x2</t>
  </si>
  <si>
    <t>Spruce 2x4</t>
  </si>
  <si>
    <t>Worbla black</t>
  </si>
  <si>
    <t>Worbla A Black</t>
  </si>
  <si>
    <t>XPS Blue 1/2"</t>
  </si>
  <si>
    <t>XPS Blue 2"</t>
  </si>
  <si>
    <t xml:space="preserve">MYFab Purchase order form </t>
  </si>
  <si>
    <t>Total (CAD)</t>
  </si>
  <si>
    <t>Description</t>
  </si>
  <si>
    <t>Specs/Category</t>
  </si>
  <si>
    <t>Quantity</t>
  </si>
  <si>
    <t>Subtotal</t>
  </si>
  <si>
    <t xml:space="preserve">Notes: </t>
  </si>
  <si>
    <t>Only modify the column Quantity</t>
  </si>
  <si>
    <t>When done Print and submit the pdf</t>
  </si>
  <si>
    <t>If met with error "The specified file is read only", close the purchase order that is open in the pdf viewer</t>
  </si>
  <si>
    <t>Terms</t>
  </si>
  <si>
    <t>Unit $</t>
  </si>
  <si>
    <t>CourseKits</t>
  </si>
  <si>
    <t>ESC204 Lab 1 kit</t>
  </si>
  <si>
    <t>OutOfStock</t>
  </si>
  <si>
    <t>-</t>
  </si>
  <si>
    <t>22awg solid black 1 ft</t>
  </si>
  <si>
    <t>Connect</t>
  </si>
  <si>
    <t>http://www.cnctech.us/pdfs/UL%2010982%20AWG%2022.pdf
http://www.cnctech.us/pdfs/UL%2010982%20AWG%2022.pdf</t>
  </si>
  <si>
    <t>Final Sale</t>
  </si>
  <si>
    <t>22awg solid blue 1 ft</t>
  </si>
  <si>
    <t>https://www.alphawire.com/products/wire/hook-up-wire/premium/3051_1/
https://www.alphawire.com/products/wire/hook-up-wire/premium/3051_1/</t>
  </si>
  <si>
    <t>22awg solid brown 1ft</t>
  </si>
  <si>
    <t>22awg solid red 1ft</t>
  </si>
  <si>
    <t>22awg solid violet 1ft</t>
  </si>
  <si>
    <t>22awg solid yellow 1ft</t>
  </si>
  <si>
    <t>22awg solig green 1 ft</t>
  </si>
  <si>
    <t>2A motor driver</t>
  </si>
  <si>
    <t>Motor</t>
  </si>
  <si>
    <t>http://www.handsontec.com/dataspecs/L298N%20Motor%20Driver.pdf
http://www.handsontec.com/dataspecs/L298N%20Motor%20Driver.pdf</t>
  </si>
  <si>
    <t>3-Position Breakout</t>
  </si>
  <si>
    <t>https://www.mouser.ca/datasheet/2/595/BB-TERM3-471790.pdf
https://www.mouser.ca/datasheet/2/595/BB-TERM3-471790.pdf</t>
  </si>
  <si>
    <t>AA case 4</t>
  </si>
  <si>
    <t>Power</t>
  </si>
  <si>
    <t>https://www.digikey.ca/en/products/detail/keystone-electronics/2478CN/7385278?s=N4IgTCBcDaIMwDYC0YAsB2AHAYQHJNwBEQBdAXyA
https://www.digikey.ca/en/products/detail/keystone-electronics/2478CN/7385278?s=N4IgTCBcDaIMwDYC0YAsB2AHAYQHJNwBEQBdAXyA</t>
  </si>
  <si>
    <t>AA case 8</t>
  </si>
  <si>
    <t>https://www.mouser.ca/datasheet/2/209/EPD-200837-1171481.pdf
https://www.mouser.ca/datasheet/2/209/EPD-200837-1171481.pdf</t>
  </si>
  <si>
    <t>AC-DC power supply 12V 5A</t>
  </si>
  <si>
    <t>Adafruit Bluefruit LE UART</t>
  </si>
  <si>
    <t>Communication</t>
  </si>
  <si>
    <t>https://www.mouser.ca/datasheet/2/737/introducing-the-adafruit-bluefruit-le-uart-friend-932882.pdf
https://www.mouser.ca/datasheet/2/737/introducing-the-adafruit-bluefruit-le-uart-friend-932882.pdf</t>
  </si>
  <si>
    <t>Analog Temperature sensor</t>
  </si>
  <si>
    <t>Sensor</t>
  </si>
  <si>
    <t>https://www.mouser.ca/datasheet/2/609/TMP35_36_37-1504323.pdf
https://www.mouser.ca/datasheet/2/609/TMP35_36_37-1504323.pdf</t>
  </si>
  <si>
    <t>Arduino Mega 2560</t>
  </si>
  <si>
    <t>https://store.arduino.cc/usa/mega-2560-r3
https://store.arduino.cc/usa/mega-2560-r3</t>
  </si>
  <si>
    <t>Arduino Nano RP2040</t>
  </si>
  <si>
    <t>https://www.mouser.ca/datasheet/2/34/ABX00053_datasheet-2487198.pdf
https://www.mouser.ca/datasheet/2/34/ABX00053_datasheet-2487198.pdf</t>
  </si>
  <si>
    <t>Breadboard L 6.50" x 2.15"</t>
  </si>
  <si>
    <t>https://www.budind.com/wp-content/uploads/2019/12/BB-32656.pdf
https://www.budind.com/wp-content/uploads/2019/12/BB-32656.pdf</t>
  </si>
  <si>
    <t>Breadboard S 3.20" x 2.08"</t>
  </si>
  <si>
    <t>https://www.farnell.com/datasheets/1786645.pdf
https://www.farnell.com/datasheets/1786645.pdf</t>
  </si>
  <si>
    <t>Ceramic Capacitors</t>
  </si>
  <si>
    <t>Component</t>
  </si>
  <si>
    <t>DC Barrel Adapter - BrdBrd</t>
  </si>
  <si>
    <t>https://www.mouser.ca/datasheet/2/813/18742-2529326.pdf
https://www.mouser.ca/datasheet/2/813/18742-2529326.pdf</t>
  </si>
  <si>
    <t>DC Female Connector</t>
  </si>
  <si>
    <t>DC Gear motor 12V 60 RPM w/encoder</t>
  </si>
  <si>
    <t>DC Gear Motor 6V 100RPM w/ encoder</t>
  </si>
  <si>
    <t>https://media.digikey.com/pdf/Data%20Sheets/DFRobot%20PDFs/FIT0522_Web.pdf
https://media.digikey.com/pdf/Data%20Sheets/DFRobot%20PDFs/FIT0522_Web.pdf</t>
  </si>
  <si>
    <t>DC Male Connector</t>
  </si>
  <si>
    <t>DC to DC Converter 12V</t>
  </si>
  <si>
    <t>https://www.openimpulse.com/blog/wp-content/uploads/wpsc/downloadables/MP1584-Datasheet.pdf
https://www.openimpulse.com/blog/wp-content/uploads/wpsc/downloadables/MP1584-Datasheet.pdf</t>
  </si>
  <si>
    <t>DC to DC Converter 6V</t>
  </si>
  <si>
    <t>DHT22 Temp-humidity sensor</t>
  </si>
  <si>
    <t>https://www.mouser.ca/datasheet/2/737/dht-932870.pdf
https://www.mouser.ca/datasheet/2/737/dht-932870.pdf</t>
  </si>
  <si>
    <t>Diode 1N4001</t>
  </si>
  <si>
    <t>https://www.vishay.com/docs/88503/1n4001.pdf
https://www.vishay.com/docs/88503/1n4001.pdf</t>
  </si>
  <si>
    <t>Diode 1N4148</t>
  </si>
  <si>
    <t>https://www.vishay.com/docs/81857/1n4148.pdf
https://www.vishay.com/docs/81857/1n4148.pdf</t>
  </si>
  <si>
    <t>Diode 1N5819</t>
  </si>
  <si>
    <t>https://www.mouser.ca/datasheet/2/427/1n5817-1768225.pdf
https://www.mouser.ca/datasheet/2/427/1n5817-1768225.pdf</t>
  </si>
  <si>
    <t>Distance sensor optical analog</t>
  </si>
  <si>
    <t>https://media.digikey.com/pdf/Data%20Sheets/Sharp%20PDFs/GP2Y0A41SK0F_Spec.pdf
https://media.digikey.com/pdf/Data%20Sheets/Sharp%20PDFs/GP2Y0A41SK0F_Spec.pdf</t>
  </si>
  <si>
    <t>Dupont Cable F-F 4 pin</t>
  </si>
  <si>
    <t>Dupont Cable M-F 4 pin</t>
  </si>
  <si>
    <t>Dupont Connecter 7 pin</t>
  </si>
  <si>
    <t>Dupont Connector 10 pin</t>
  </si>
  <si>
    <t xml:space="preserve">Dupont Connector 2 pin </t>
  </si>
  <si>
    <t>Dupont Connector 3 pin</t>
  </si>
  <si>
    <t>Dupont Connector 5 pin</t>
  </si>
  <si>
    <t>Dupont Connector 6 pin</t>
  </si>
  <si>
    <t>Dupont Connector 8 pin</t>
  </si>
  <si>
    <t>Dupont Connector 9 pin</t>
  </si>
  <si>
    <t>Dupont Connector Reed F (10 units)</t>
  </si>
  <si>
    <t>Dupont Connector Reed M (10 units)</t>
  </si>
  <si>
    <t>Electrolytic Capacitors</t>
  </si>
  <si>
    <t>Flexible coupler 5 to 8mm</t>
  </si>
  <si>
    <t>F-M Stackable Header 4 pin</t>
  </si>
  <si>
    <t>F-M Stackable Header 6 pin</t>
  </si>
  <si>
    <t>Gravity soil moisture sensor</t>
  </si>
  <si>
    <t>https://wiki.dfrobot.com/Moisture_Sensor__SKU_SEN0114_
https://wiki.dfrobot.com/Moisture_Sensor__SKU_SEN0114_</t>
  </si>
  <si>
    <t>Hex coupler 3mm</t>
  </si>
  <si>
    <t>https://www.aliexpress.com/item/32955694782.html?spm=a2g0o.search0302.0.0.cfdcc102tU1RJv&amp;algo_pvid=9e7e75c2-541e-45d5-b84c-968a4ca9f664&amp;algo_exp_id=9e7e75c2-541e-45d5-b84c-968a4ca9f664-27
https://www.aliexpress.com/item/32955694782.html?spm=a2g0o.search0302.0.0.cfdcc102tU1RJv&amp;algo_pvid=9e7e75c2-541e-45d5-b84c-968a4ca9f664&amp;algo_exp_id=9e7e75c2-541e-45d5-b84c-968a4ca9f664-27</t>
  </si>
  <si>
    <t xml:space="preserve">Hex Standoff M3  8.00mm F-M </t>
  </si>
  <si>
    <t>Hardware</t>
  </si>
  <si>
    <t>https://www.we-online.com/katalog/datasheet/971100354.pdf
https://www.we-online.com/katalog/datasheet/971100354.pdf</t>
  </si>
  <si>
    <t xml:space="preserve">Hex Standoff M3 10.00mm F-M  Brass </t>
  </si>
  <si>
    <t xml:space="preserve">Hex Standoff M3 20mm F-F </t>
  </si>
  <si>
    <t>https://www.keyelco.com/userAssets/file/M65p76.pdf
https://www.keyelco.com/userAssets/file/M65p76.pdf</t>
  </si>
  <si>
    <t>Hex Standoff M3 50mm M-F</t>
  </si>
  <si>
    <t>https://www.we-online.com/katalog/datasheet/971500324.pdf
https://www.we-online.com/katalog/datasheet/971500324.pdf</t>
  </si>
  <si>
    <t>Hex Standoff M3 x 25mm  M-F Brass</t>
  </si>
  <si>
    <t>https://www.we-online.com/katalog/datasheet/971250244.pdf
https://www.we-online.com/katalog/datasheet/971250244.pdf</t>
  </si>
  <si>
    <t>Humidity/ temp sensor</t>
  </si>
  <si>
    <t>https://www.farnell.com/datasheets/1927619.pdf?_ga=2.24458937.2054498849.1629474812-1963937051.1613669872&amp;_gac=1.158316872.1629474812.Cj0KCQjwpf2IBhDkARIsAGVo0D3Nq0169lJZwweYV3jyhYvTXDjXJhqs6YIh56RBfJMwRF8xWkWAw-8aAg8CEALw_wcB
https://www.farnell.com/datasheets/1927619.pdf?_ga=2.24458937.2054498849.1629474812-1963937051.1613669872&amp;_gac=1.158316872.1629474812.Cj0KCQjwpf2IBhDkARIsAGVo0D3Nq0169lJZwweYV3jyhYvTXDjXJhqs6YIh56RBfJMwRF8xWkWAw-8aAg8CEALw_wcB</t>
  </si>
  <si>
    <t>JST 3 pin</t>
  </si>
  <si>
    <t>JST 6 pin</t>
  </si>
  <si>
    <t>JST 6 pin Small</t>
  </si>
  <si>
    <t>Jumper wire F-F</t>
  </si>
  <si>
    <t>Jumper wire M-F</t>
  </si>
  <si>
    <t>Jumper wire M-M</t>
  </si>
  <si>
    <t>LED</t>
  </si>
  <si>
    <t>https://learn.adafruit.com/all-about-leds/the-led-datasheet
https://learn.adafruit.com/all-about-leds/the-led-datasheet</t>
  </si>
  <si>
    <t>Logic Level Converter</t>
  </si>
  <si>
    <t>https://www.sparkfun.com/products/12009
https://www.sparkfun.com/products/12009</t>
  </si>
  <si>
    <t>Mecanum Wheel</t>
  </si>
  <si>
    <t>MG996R Servo motor</t>
  </si>
  <si>
    <t>https://pdf1.alldatasheet.com/datasheet-pdf/view/1131873/ETC2/MG996R.html
https://pdf1.alldatasheet.com/datasheet-pdf/view/1131873/ETC2/MG996R.html</t>
  </si>
  <si>
    <t>Micro metal gear motor 6V w/ encoder</t>
  </si>
  <si>
    <t>https://www.digikey.com/htmldatasheets/production/2303784/0/0/1/fit0484.html
https://www.digikey.com/htmldatasheets/production/2303784/0/0/1/fit0484.html</t>
  </si>
  <si>
    <t>Micro SD card module</t>
  </si>
  <si>
    <t>https://components101.com/sites/default/files/component_datasheet/Micro-SD-Card-Module-Datasheet.pdf
https://components101.com/sites/default/files/component_datasheet/Micro-SD-Card-Module-Datasheet.pdf</t>
  </si>
  <si>
    <t>Mini stepper Motor Nema 8</t>
  </si>
  <si>
    <t>https://www.adafruit.com/product/4411
https://www.adafruit.com/product/4411</t>
  </si>
  <si>
    <t>Mosfet IRF510</t>
  </si>
  <si>
    <t>https://www.vishay.com/docs/91015/irf510.pdf
https://www.vishay.com/docs/91015/irf510.pdf</t>
  </si>
  <si>
    <t>Motor Hub 3mm</t>
  </si>
  <si>
    <t>PCB receptacle board to board 4pos 1 ros</t>
  </si>
  <si>
    <t>https://www.farnell.com/datasheets/185042.pdf?_ga=2.21328568.2054498849.1629474812-1963937051.1613669872&amp;_gac=1.118996091.1629474812.Cj0KCQjwpf2IBhDkARIsAGVo0D3Nq0169lJZwweYV3jyhYvTXDjXJhqs6YIh56RBfJMwRF8xWkWAw-8aAg8CEALw_wcB
https://www.farnell.com/datasheets/185042.pdf?_ga=2.21328568.2054498849.1629474812-1963937051.1613669872&amp;_gac=1.118996091.1629474812.Cj0KCQjwpf2IBhDkARIsAGVo0D3Nq0169lJZwweYV3jyhYvTXDjXJhqs6YIh56RBfJMwRF8xWkWAw-8aAg8CEALw_wcB</t>
  </si>
  <si>
    <t>Photoresistor</t>
  </si>
  <si>
    <t>https://www.farnell.com/datasheets/1815595.pdf
https://www.farnell.com/datasheets/1815595.pdf</t>
  </si>
  <si>
    <t>Pin header 20 contacts</t>
  </si>
  <si>
    <t>https://www.we-online.com/katalog/datasheet/6130xx11121.pdf
https://www.we-online.com/katalog/datasheet/6130xx11121.pdf</t>
  </si>
  <si>
    <t>Pin header 40 contacts</t>
  </si>
  <si>
    <t>https://www.we-online.com/katalog/datasheet/61304011121.pdf
https://www.we-online.com/katalog/datasheet/61304011121.pdf</t>
  </si>
  <si>
    <t>PIR sensor</t>
  </si>
  <si>
    <t>https://cdn-shop.adafruit.com/product-files/4667/4667_C15116.pdf
https://cdn-shop.adafruit.com/product-files/4667/4667_C15116.pdf</t>
  </si>
  <si>
    <t>Plunger Clips</t>
  </si>
  <si>
    <t>Pot 10 K linear</t>
  </si>
  <si>
    <t>https://www.piher.net/piher-nacesa.com/pdf/14-PT15v03.pdf
https://www.piher.net/piher-nacesa.com/pdf/14-PT15v03.pdf</t>
  </si>
  <si>
    <t>Potentiometers</t>
  </si>
  <si>
    <t>Power Connector 2 pin F and M</t>
  </si>
  <si>
    <t>Pressure sensor</t>
  </si>
  <si>
    <t>https://sensing.honeywell.com/honeywell-sensing-trustability-ssc-series-standard-accuracy-board-mount-pressure-sensors-50099533-a-en.pdf
https://sensing.honeywell.com/honeywell-sensing-trustability-ssc-series-standard-accuracy-board-mount-pressure-sensors-50099533-a-en.pdf</t>
  </si>
  <si>
    <t>Push button</t>
  </si>
  <si>
    <t>https://omronfs.omron.com/en_US/ecb/products/pdf/en-b3f.pdf
https://omronfs.omron.com/en_US/ecb/products/pdf/en-b3f.pdf</t>
  </si>
  <si>
    <t>Relay DPDT 2A 5V</t>
  </si>
  <si>
    <t>https://www.te.com/commerce/DocumentDelivery/DDEController?Action=srchrtrv&amp;DocNm=1462000-2&amp;DocType=Customer+Drawing&amp;DocLang=English
https://www.te.com/commerce/DocumentDelivery/DDEController?Action=srchrtrv&amp;DocNm=1462000-2&amp;DocType=Customer+Drawing&amp;DocLang=English</t>
  </si>
  <si>
    <t>Relay module 5V</t>
  </si>
  <si>
    <t>https://www.farnell.com/datasheets/2548967.pdf?_ga=2.125107465.2054498849.1629474812-1963937051.1613669872&amp;_gac=1.184537684.1629474812.Cj0KCQjwpf2IBhDkARIsAGVo0D3Nq0169lJZwweYV3jyhYvTXDjXJhqs6YIh56RBfJMwRF8xWkWAw-8aAg8CEALw_wcB
https://www.farnell.com/datasheets/2548967.pdf?_ga=2.125107465.2054498849.1629474812-1963937051.1613669872&amp;_gac=1.184537684.1629474812.Cj0KCQjwpf2IBhDkARIsAGVo0D3Nq0169lJZwweYV3jyhYvTXDjXJhqs6YIh56RBfJMwRF8xWkWAw-8aAg8CEALw_wcB</t>
  </si>
  <si>
    <t>Resistors</t>
  </si>
  <si>
    <t>RPI Pico</t>
  </si>
  <si>
    <t>https://datasheets.raspberrypi.org/pico/pico-datasheet.pdf
https://datasheets.raspberrypi.org/pico/pico-datasheet.pdf</t>
  </si>
  <si>
    <t>RPI PINOIR Camera</t>
  </si>
  <si>
    <t>https://www.raspberrypi.org/products/pi-noir-camera-v2/
https://www.raspberrypi.org/products/pi-noir-camera-v2/</t>
  </si>
  <si>
    <t>SilyWheels</t>
  </si>
  <si>
    <t>Solder Breadboard (10row x 5column)</t>
  </si>
  <si>
    <t>https://www.mouser.ca/datasheet/2/73/SBB1005_1-2488414.pdf
https://www.mouser.ca/datasheet/2/73/SBB1005_1-2488414.pdf</t>
  </si>
  <si>
    <t>Solder Breadboard (16row x 5column)</t>
  </si>
  <si>
    <t>https://www.mouser.ca/datasheet/2/73/SBB1605_1-2488593.pdf
https://www.mouser.ca/datasheet/2/73/SBB1605_1-2488593.pdf</t>
  </si>
  <si>
    <t>Stepper motor driver A4988</t>
  </si>
  <si>
    <t>Stepper motor Nema 17</t>
  </si>
  <si>
    <t>https://utoronto.sharepoint.com/sites/fase-myhalfabrication/MechDataSheets/Forms/AllItems.aspx?id=%2Fsites%2Ffase%2Dmyhalfabrication%2FMechDataSheets%2FStepper%5F17HS3401S%2Epdf&amp;parent=%2Fsites%2Ffase%2Dmyhalfabrication%2FMechDataSheets
https://utoronto.sharepoint.com/sites/fase-myhalfabrication/MechDataSheets/Forms/AllItems.aspx?id=%2Fsites%2Ffase%2Dmyhalfabrication%2FMechDataSheets%2FStepper%5F17HS3401S%2Epdf&amp;parent=%2Fsites%2Ffase%2Dmyhalfabrication%2FMechDataSheets</t>
  </si>
  <si>
    <t>Stepper motor Nema 23</t>
  </si>
  <si>
    <t>https://www.mouser.ca/datasheet/2/813/57BYGH420_2-2488166.pdf
https://www.mouser.ca/datasheet/2/813/57BYGH420_2-2488166.pdf</t>
  </si>
  <si>
    <t>Thermistor</t>
  </si>
  <si>
    <t>https://learn.adafruit.com/thermistor
https://learn.adafruit.com/thermistor</t>
  </si>
  <si>
    <t>Timing belt pulley T2</t>
  </si>
  <si>
    <t>Timing Belt T2</t>
  </si>
  <si>
    <t>Toggle switch DPDT latching</t>
  </si>
  <si>
    <t>https://www.citrelay.com/Catalog%20Pages/SwitchCatalog/ANT.pdf
https://www.citrelay.com/Catalog%20Pages/SwitchCatalog/ANT.pdf</t>
  </si>
  <si>
    <t>Toggle switch DPDT momentary</t>
  </si>
  <si>
    <t>https://www.farnell.com/datasheets/2945647.pdf
https://www.farnell.com/datasheets/2945647.pdf</t>
  </si>
  <si>
    <t>Transistor TIP142</t>
  </si>
  <si>
    <t>https://www.onsemi.com/pdf/datasheet/tip140-d.pdf
https://www.onsemi.com/pdf/datasheet/tip140-d.pdf</t>
  </si>
  <si>
    <t>Transistor TIP147</t>
  </si>
  <si>
    <t>https://www.onsemi.com/pdf/datasheet/tip147t-d.pdf
https://www.onsemi.com/pdf/datasheet/tip147t-d.pdf</t>
  </si>
  <si>
    <t>Turnigy NiMH 7.2V 3000mAh Battery</t>
  </si>
  <si>
    <t>https://hobbyking.com/en_us/turnigy-stick-pack-sub-c-3000mah-7-2v-nimh-high-power-series.html
https://hobbyking.com/en_us/turnigy-stick-pack-sub-c-3000mah-7-2v-nimh-high-power-series.html</t>
  </si>
  <si>
    <t>Type B USB for Arduino</t>
  </si>
  <si>
    <t>Ultrasonic sensor</t>
  </si>
  <si>
    <t>https://media.digikey.com/pdf/Data%20Sheets/Adafruit%20PDFs/4007_Web.pdf
https://media.digikey.com/pdf/Data%20Sheets/Adafruit%20PDFs/4007_Web.pdf</t>
  </si>
  <si>
    <t>USB to Micro USB cable</t>
  </si>
  <si>
    <t>Voltage regulator 12V 7812</t>
  </si>
  <si>
    <t>https://www.mouser.com/datasheet/2/149/LM7812-461970.pdf
https://www.mouser.com/datasheet/2/149/LM7812-461970.pdf</t>
  </si>
  <si>
    <t>Voltage regulator 3.3 V</t>
  </si>
  <si>
    <t>https://www.mouser.ca/datasheet/2/389/cd00001884-1795582.pdf
https://www.mouser.ca/datasheet/2/389/cd00001884-1795582.pdf</t>
  </si>
  <si>
    <t>Voltage regulator 5V (7805)</t>
  </si>
  <si>
    <t>https://www.mouser.ca/datasheet/2/389/cd00000444-1795274.pdf
https://www.mouser.ca/datasheet/2/389/cd00000444-1795274.pdf</t>
  </si>
  <si>
    <t>Voltage regulator negative 5V (7905)</t>
  </si>
  <si>
    <t>https://www.st.com/content/ccc/resource/technical/document/datasheet/e9/be/53/a3/1f/6f/4f/75/CD00000449.pdf/files/CD00000449.pdf/jcr:content/translations/en.CD00000449.pdf
https://www.st.com/content/ccc/resource/technical/document/datasheet/e9/be/53/a3/1f/6f/4f/75/CD00000449.pdf/files/CD00000449.pdf/jcr:content/translations/en.CD00000449.pdf</t>
  </si>
  <si>
    <t>Weight sensor (Load cell)</t>
  </si>
  <si>
    <t>https://media.digikey.com/pdf/Data%20Sheets/Seeed%20Technology/114990100_Web.pdf
https://media.digikey.com/pdf/Data%20Sheets/Seeed%20Technology/114990100_Web.pdf</t>
  </si>
  <si>
    <t>Wheel (Blue)</t>
  </si>
  <si>
    <t>Wheel (Narrow)</t>
  </si>
  <si>
    <t>Wifi antenna</t>
  </si>
  <si>
    <t>https://www.mouser.ca/datasheet/2/238/ant_w63rpc1_ds-1927937.pdf
https://www.mouser.ca/datasheet/2/238/ant_w63rpc1_ds-1927937.pdf</t>
  </si>
  <si>
    <t>GPS L76B GNSS Module</t>
  </si>
  <si>
    <t>https://www.waveshare.com/pico-gps-l76b.htm
https://www.waveshare.com/pico-gps-l76b.htm</t>
  </si>
  <si>
    <t>220 ohms resistor</t>
  </si>
  <si>
    <t>https://www.seielect.com/catalog/sei-cf_cfm.pdf
https://www.seielect.com/catalog/sei-cf_cfm.pdf</t>
  </si>
  <si>
    <t>330 ohms resistor</t>
  </si>
  <si>
    <t>1 Kohms resistor</t>
  </si>
  <si>
    <t>2 Kohms resistor</t>
  </si>
  <si>
    <t>5.1 Kohms resistor</t>
  </si>
  <si>
    <t>10 Kohms resistor</t>
  </si>
  <si>
    <t>zhaoregi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</si>
</sst>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&quot;$&quot;#,##0.00"/>
  </numFmts>
  <fonts count="2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18"/>
      <color theme="1"/>
      <name val="Century Gothic"/>
      <family val="2"/>
    </font>
    <font>
      <sz val="13"/>
      <color theme="1"/>
      <name val="Century Gothic"/>
      <family val="2"/>
    </font>
    <font>
      <b/>
      <sz val="13"/>
      <color theme="0"/>
      <name val="Century Gothic"/>
      <family val="2"/>
    </font>
    <font>
      <b/>
      <sz val="13"/>
      <color theme="1"/>
      <name val="Century Gothic"/>
      <family val="2"/>
    </font>
    <font>
      <b/>
      <sz val="15"/>
      <color theme="1"/>
      <name val="Century Gothic"/>
      <family val="2"/>
    </font>
    <font>
      <sz val="13"/>
      <name val="Century Gothic"/>
      <family val="2"/>
    </font>
    <font>
      <sz val="14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Protection="1">
      <protection locked="0"/>
    </xf>
    <xf numFmtId="0" fontId="0" fillId="0" borderId="0" xfId="0" pivotButton="1"/>
    <xf numFmtId="0" fontId="21" fillId="0" borderId="0" xfId="0" applyFont="1"/>
    <xf numFmtId="0" fontId="24" fillId="0" borderId="0" xfId="0" applyFont="1"/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right"/>
    </xf>
    <xf numFmtId="0" fontId="21" fillId="0" borderId="10" xfId="0" applyFont="1" applyBorder="1"/>
    <xf numFmtId="165" fontId="22" fillId="34" borderId="13" xfId="42" applyNumberFormat="1" applyFont="1" applyFill="1" applyBorder="1"/>
    <xf numFmtId="0" fontId="26" fillId="0" borderId="0" xfId="0" pivotButton="1" applyFont="1"/>
    <xf numFmtId="0" fontId="26" fillId="0" borderId="0" xfId="0" applyFont="1"/>
    <xf numFmtId="0" fontId="26" fillId="0" borderId="0" xfId="0" applyFont="1" applyProtection="1">
      <protection locked="0"/>
    </xf>
    <xf numFmtId="0" fontId="0" fillId="33" borderId="0" xfId="0" applyFill="1" applyAlignment="1" applyProtection="1">
      <alignment horizontal="center"/>
      <protection locked="0"/>
    </xf>
    <xf numFmtId="0" fontId="20" fillId="35" borderId="0" xfId="0" applyFont="1" applyFill="1" applyAlignment="1" applyProtection="1">
      <alignment horizontal="center"/>
      <protection locked="0"/>
    </xf>
    <xf numFmtId="0" fontId="25" fillId="0" borderId="0" xfId="0" applyFont="1" applyAlignment="1">
      <alignment horizontal="center" vertical="center"/>
    </xf>
    <xf numFmtId="0" fontId="0" fillId="33" borderId="0" xfId="0" applyFill="1" applyAlignment="1" applyProtection="1">
      <alignment horizontal="center"/>
      <protection locked="0"/>
    </xf>
    <xf numFmtId="0" fontId="20" fillId="35" borderId="20" xfId="0" applyFont="1" applyFill="1" applyBorder="1" applyAlignment="1" applyProtection="1">
      <alignment horizontal="center"/>
      <protection locked="0"/>
    </xf>
    <xf numFmtId="0" fontId="20" fillId="35" borderId="0" xfId="0" applyFont="1" applyFill="1" applyAlignment="1" applyProtection="1">
      <alignment horizontal="center"/>
      <protection locked="0"/>
    </xf>
    <xf numFmtId="0" fontId="0" fillId="33" borderId="0" xfId="0" applyFill="1" applyBorder="1" applyAlignment="1" applyProtection="1">
      <alignment horizontal="center"/>
      <protection locked="0"/>
    </xf>
    <xf numFmtId="0" fontId="20" fillId="36" borderId="20" xfId="0" applyFont="1" applyFill="1" applyBorder="1" applyAlignment="1" applyProtection="1">
      <alignment horizontal="center"/>
      <protection locked="0"/>
    </xf>
    <xf numFmtId="0" fontId="20" fillId="36" borderId="0" xfId="0" applyFont="1" applyFill="1" applyBorder="1" applyAlignment="1" applyProtection="1">
      <alignment horizontal="center"/>
      <protection locked="0"/>
    </xf>
    <xf numFmtId="0" fontId="19" fillId="33" borderId="0" xfId="0" applyFont="1" applyFill="1" applyAlignment="1"/>
    <xf numFmtId="0" fontId="20" fillId="34" borderId="20" xfId="0" applyFont="1" applyFill="1" applyBorder="1" applyAlignment="1" applyProtection="1">
      <protection locked="0"/>
    </xf>
    <xf numFmtId="0" fontId="20" fillId="34" borderId="0" xfId="0" applyFont="1" applyFill="1" applyBorder="1" applyAlignment="1" applyProtection="1">
      <protection locked="0"/>
    </xf>
    <xf numFmtId="0" fontId="23" fillId="0" borderId="0" xfId="0" applyFont="1" applyAlignment="1">
      <alignment wrapText="1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2" fillId="34" borderId="11" xfId="0" applyFont="1" applyFill="1" applyBorder="1" applyAlignment="1">
      <alignment horizontal="center"/>
    </xf>
    <xf numFmtId="0" fontId="22" fillId="34" borderId="12" xfId="0" applyFont="1" applyFill="1" applyBorder="1" applyAlignment="1">
      <alignment horizontal="center"/>
    </xf>
    <xf numFmtId="0" fontId="25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6">
    <dxf>
      <fill>
        <gradientFill degree="90">
          <stop position="0">
            <color theme="0"/>
          </stop>
          <stop position="1">
            <color theme="9"/>
          </stop>
        </gradientFill>
      </fill>
    </dxf>
    <dxf>
      <fill>
        <gradientFill degree="90">
          <stop position="0">
            <color theme="0"/>
          </stop>
          <stop position="1">
            <color theme="5"/>
          </stop>
        </gradientFill>
      </fill>
    </dxf>
    <dxf>
      <font>
        <strike/>
      </font>
    </dxf>
    <dxf>
      <font>
        <strike/>
      </font>
    </dxf>
    <dxf>
      <font>
        <strike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auto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</dxf>
    <dxf>
      <font>
        <strike val="0"/>
        <outline val="0"/>
        <shadow val="0"/>
        <u val="none"/>
        <vertAlign val="baseline"/>
        <sz val="13"/>
        <color theme="1"/>
        <name val="Century Gothic"/>
        <family val="2"/>
        <scheme val="none"/>
      </font>
      <alignment horizontal="center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</dxfs>
  <tableStyles count="0" defaultTableStyle="TableStyleMedium2" defaultPivotStyle="PivotStyleLight16"/>
  <colors>
    <mruColors>
      <color rgb="FFF9ADA5"/>
      <color rgb="FFF255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3.xml"/><Relationship Id="rId15" Type="http://schemas.openxmlformats.org/officeDocument/2006/relationships/customXml" Target="../customXml/item4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2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1419225</xdr:colOff>
          <xdr:row>0</xdr:row>
          <xdr:rowOff>47625</xdr:rowOff>
        </xdr:from>
        <xdr:to>
          <xdr:col>3</xdr:col>
          <xdr:colOff>190500</xdr:colOff>
          <xdr:row>0</xdr:row>
          <xdr:rowOff>413385</xdr:rowOff>
        </xdr:to>
        <xdr:sp macro="" textlink="">
          <xdr:nvSpPr>
            <xdr:cNvPr id="12295" name="CommandButton1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0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1819275</xdr:colOff>
          <xdr:row>0</xdr:row>
          <xdr:rowOff>47625</xdr:rowOff>
        </xdr:from>
        <xdr:to>
          <xdr:col>9</xdr:col>
          <xdr:colOff>424815</xdr:colOff>
          <xdr:row>0</xdr:row>
          <xdr:rowOff>413385</xdr:rowOff>
        </xdr:to>
        <xdr:sp macro="" textlink="">
          <xdr:nvSpPr>
            <xdr:cNvPr id="12297" name="CommandButton2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0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1171575</xdr:colOff>
          <xdr:row>0</xdr:row>
          <xdr:rowOff>47625</xdr:rowOff>
        </xdr:from>
        <xdr:to>
          <xdr:col>15</xdr:col>
          <xdr:colOff>794385</xdr:colOff>
          <xdr:row>0</xdr:row>
          <xdr:rowOff>413385</xdr:rowOff>
        </xdr:to>
        <xdr:sp macro="" textlink="">
          <xdr:nvSpPr>
            <xdr:cNvPr id="12299" name="CommandButton3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9</xdr:row>
          <xdr:rowOff>133350</xdr:rowOff>
        </xdr:from>
        <xdr:to>
          <xdr:col>8</xdr:col>
          <xdr:colOff>342900</xdr:colOff>
          <xdr:row>12</xdr:row>
          <xdr:rowOff>110490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1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12</xdr:row>
          <xdr:rowOff>180975</xdr:rowOff>
        </xdr:from>
        <xdr:to>
          <xdr:col>7</xdr:col>
          <xdr:colOff>834390</xdr:colOff>
          <xdr:row>14</xdr:row>
          <xdr:rowOff>118110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1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" refreshedDate="44571.408478240737" createdVersion="6" refreshedVersion="6" minRefreshableVersion="3" recordCount="93" xr:uid="{8830C08C-E665-47FF-BDF0-136E2ED0581A}">
  <cacheSource type="external" connectionId="7"/>
  <cacheFields count="17">
    <cacheField name="Filename" numFmtId="0">
      <sharedItems count="93">
        <s v="Bearing Balls 1/8&quot;"/>
        <s v="Bearing Balls 3/16&quot;"/>
        <s v="Bearing Balls 5/32&quot;"/>
        <s v="Bearing Balls 7/32&quot;"/>
        <s v="Bearing Balls 1/4&quot;"/>
        <s v="Mini Ball Bearings"/>
        <s v="Threaded rod 1/4 20"/>
        <s v="ESC204 Workshop Rover W/Consumables"/>
        <s v="ESC204 Workshop Consumables Only"/>
        <s v="Neodymium Magnet"/>
        <s v="MSE398 tensile tester Kit"/>
        <s v="M3 pitch 0.50- 5mm"/>
        <s v="M3 pitch 0.50- 6mm"/>
        <s v="M3 pitch 0.50- 8mm"/>
        <s v="M3 pitch 0.50- 10mm"/>
        <s v="M3 pitch 0.50- 12mm"/>
        <s v="M3 pitch 0.50- 20mm"/>
        <s v="M3 pitch 0.50- 25mm"/>
        <s v="M3 pitch 0.50- 35mm"/>
        <s v="M3 pitch 0.50- 40mm"/>
        <s v="M4 pitch 0.70- 35mm"/>
        <s v="M5 pitch 0.80- 35mm"/>
        <s v="Hex nut M3 pitch 0.5"/>
        <s v="Hex nut M5 pitch 0.80"/>
        <s v="Hex nut M4 pitch 0.70"/>
        <s v="6 x 1/2&quot; Flat Head"/>
        <s v="6 x 1/2&quot; Round Head "/>
        <s v="6 x 1&quot; Flat Head"/>
        <s v="6 x 1 1/2&quot; Flat Head"/>
        <s v="6 x 2&quot; Flat Head"/>
        <s v="8 x 1&quot; Flat Head"/>
        <s v="8 x 1 1/2&quot; Flat Head"/>
        <s v="8 x 4&quot; Flat Head"/>
        <s v="12 x 3/4&quot; Flat Head"/>
        <s v="12 x 1&quot; Flat Head"/>
        <s v="12 x 1 1/2&quot; Flat Head"/>
        <s v="12 x 4&quot; Flat Head"/>
        <s v="6 x 3/4&quot; Flat Head"/>
        <s v="6-32 x 1/4&quot; Round Head"/>
        <s v="6-32 x 1/2&quot; Round Head"/>
        <s v="6-32 x 3/4&quot; Round Head"/>
        <s v="6-32 x 1&quot; Round Head"/>
        <s v="8-32 x 1/2&quot; Round Head"/>
        <s v="8-32 x 3/4&quot; Round Head"/>
        <s v="8-32 x 1 1/4&quot; Round Head"/>
        <s v="8-32 x 1 1/2&quot; Round Head"/>
        <s v="M3 Washers"/>
        <s v="10-32 x 1/2&quot; Round Head"/>
        <s v="10-32 x 3/4&quot; Round Head"/>
        <s v="10-32 x 1&quot; Round Head"/>
        <s v="10-32 x 1 1/4&quot; Round Head"/>
        <s v="Perforated Hanger Strap"/>
        <s v="Hex Nut 6-32"/>
        <s v="10-32 Hex Nut "/>
        <s v="1/4-20 x 3/4&quot; Hex Bolt "/>
        <s v="1/4-20 x 2&quot; Hex Bolt "/>
        <s v="3/8-16 x 2&quot; Hex Bolt "/>
        <s v="3/8-16 x 3&quot; Hex Bolt "/>
        <s v="3/8-16 x 4&quot; Hex Bolt "/>
        <s v="3/8-16 x 5&quot; Hex Bolt "/>
        <s v="10-24 x 1/2&quot; Round Head"/>
        <s v="10-24 x 1 1/4&quot; Round Head"/>
        <s v="1/4-20 x 1/2&quot; Round Head"/>
        <s v="1/4-20 x 3/4&quot; Round Head"/>
        <s v="1/4-20 x 1&quot; Round Head"/>
        <s v="1/4-20 x 1 1/2&quot; Round Head"/>
        <s v="1/4-20 x 3&quot; Round Head"/>
        <s v="Spiral Deck Nails"/>
        <s v="3/16 x 2 1/4&quot; Tapper Screws"/>
        <s v="1 3/4&quot; Deck Screw"/>
        <s v="1&quot; Self Tapping Flat Head"/>
        <s v="Roofing Nails"/>
        <s v="10-24 Hex Nut"/>
        <s v="Hex Nut 1/4-20 "/>
        <s v="3/8-16 Hex Nut"/>
        <s v="1/4-20 Washer"/>
        <s v="1/4-20 Split Washer"/>
        <s v="3/8-16 Washer"/>
        <s v="3/8-16 Split Washer"/>
        <s v="1/4 Rivets"/>
        <s v="3/32 Rivets"/>
        <s v="1/8 Rivets"/>
        <s v="5/32 Rivets"/>
        <s v="3/16 Rivets"/>
        <s v="M1.6"/>
        <s v="M1.6 Hex Nut"/>
        <s v="M3 Flat Head Socket Head"/>
        <s v="8 x 3&quot; Flat Head"/>
        <s v="8-32 Hex Nut"/>
        <s v="M3 Locknut"/>
        <s v="M3*5 socket"/>
        <s v="M3 split washer"/>
        <s v="ESC204 Lab 1 kit"/>
      </sharedItems>
    </cacheField>
    <cacheField name="Cost" numFmtId="0">
      <sharedItems containsString="0" containsBlank="1" containsNumber="1" minValue="0.02" maxValue="100" count="44">
        <n v="0.05"/>
        <n v="1.2"/>
        <n v="2.67"/>
        <n v="99.22"/>
        <n v="13.79"/>
        <n v="16.61"/>
        <n v="100"/>
        <n v="0.09"/>
        <n v="0.12"/>
        <n v="0.11"/>
        <n v="0.14000000000000001"/>
        <n v="0.25"/>
        <n v="0.31"/>
        <n v="0.35"/>
        <n v="0.08"/>
        <n v="0.19"/>
        <n v="0.02"/>
        <n v="7.0000000000000007E-2"/>
        <n v="0.06"/>
        <n v="0.28999999999999998"/>
        <n v="0.22"/>
        <n v="0.21"/>
        <n v="0.75"/>
        <n v="0.04"/>
        <n v="0.16"/>
        <n v="1.48"/>
        <n v="0.1"/>
        <n v="0.17"/>
        <n v="0.46"/>
        <n v="0.93"/>
        <n v="1.38"/>
        <n v="2.06"/>
        <n v="3.03"/>
        <n v="0.33"/>
        <n v="1.9"/>
        <n v="0.57999999999999996"/>
        <m/>
        <n v="0.15"/>
        <n v="0.03"/>
        <n v="0.36"/>
        <n v="0.24"/>
        <n v="0.13"/>
        <n v="0.54"/>
        <n v="9.42"/>
      </sharedItems>
    </cacheField>
    <cacheField name="Reorder Link" numFmtId="0">
      <sharedItems containsBlank="1" count="6">
        <s v="https://www.amazon.ca/gp/product/B018B7D05K/ref=ppx_yo_dt_b_asin_title_o06_s00?ie=UTF8&amp;psc=1_x000a_Amazon"/>
        <s v="https://www.amazon.ca/gp/product/B07CVBW44R/ref=ppx_yo_dt_b_asin_title_o06_s00?ie=UTF8&amp;psc=1_x000a_Amazon"/>
        <m/>
        <s v="https://spaenaur.com/_x000a_https://spaenaur.com/"/>
        <s v="https://www.mcmaster.com/_x000a_https://www.mcmaster.com/"/>
        <s v="https://www.mcmaster.com/spacer-washers/for-screw-size~m3/material~steel/_x000a_https://www.mcmaster.com/spacer-washers/for-screw-size~m3/material~steel/"/>
      </sharedItems>
    </cacheField>
    <cacheField name="Specs" numFmtId="0">
      <sharedItems containsBlank="1" count="67">
        <s v="1/8&quot; - Chrome Steel"/>
        <s v="3/16&quot; - Chrome Steel"/>
        <s v="5/32&quot; - Chrome Steel"/>
        <s v="7/32&quot; - Chrome Steel"/>
        <s v="1/4&quot; - Chrome Steel"/>
        <s v="5 mm x 11 mm x 4 mm"/>
        <s v="1/4-20 Threaded rod 1 foot"/>
        <m/>
        <s v="1&quot; dia x 1/8&quot; thick"/>
        <s v="2020-2021"/>
        <s v="5mm"/>
        <s v="6 mm"/>
        <s v="8 mm"/>
        <s v="10 mm"/>
        <s v="12 mm"/>
        <s v="20 mm"/>
        <s v="25 mm"/>
        <s v="35 mm"/>
        <s v="40 mm"/>
        <s v="1/2&quot;"/>
        <s v="WS-120"/>
        <s v="593-K02-1Y"/>
        <s v="593-005"/>
        <s v="WS-94"/>
        <s v="WS-20"/>
        <s v="593-KO5-1T"/>
        <s v="4&quot;"/>
        <s v="3/4&quot;"/>
        <s v="1&quot;"/>
        <s v="1 1/2&quot;"/>
        <s v="WS-56"/>
        <s v="385 B12 1P"/>
        <s v="385 B70 1W"/>
        <s v="385-084"/>
        <s v="385-B25-1Y"/>
        <s v="385-B07-1M"/>
        <s v="385-B56-1W"/>
        <s v="385-251"/>
        <s v="835-C39-1X"/>
        <s v="M3"/>
        <s v="385-B02-1C"/>
        <s v="385-B14-1C"/>
        <s v="385-B33-2M"/>
        <s v="385-116"/>
        <s v="B-1521"/>
        <s v="HN-69"/>
        <s v="2&quot;"/>
        <s v="3&quot;"/>
        <s v="5&quot;"/>
        <s v="385-B26-1C"/>
        <s v="1 1/4&quot;"/>
        <s v="385-210"/>
        <s v="385-C28-1A"/>
        <s v="385-209"/>
        <s v="385-B38-1C"/>
        <s v="2 1/2&quot;"/>
        <s v="2 1/4&quot;"/>
        <s v="1 3/4&quot;"/>
        <s v="155-PO8-1T"/>
        <s v="155-P06-1C"/>
        <s v="3/8&quot;"/>
        <s v="1/4&quot;"/>
        <s v="3/32&quot;"/>
        <s v="1/8&quot;"/>
        <s v="5/32&quot;"/>
        <s v="3/16&quot;"/>
        <s v="8/32&quot; 155-P05-1Y"/>
      </sharedItems>
    </cacheField>
    <cacheField name="Image" numFmtId="0">
      <sharedItems containsBlank="1" longText="1"/>
    </cacheField>
    <cacheField name="Stock" numFmtId="0">
      <sharedItems containsBlank="1" count="8">
        <s v="100"/>
        <s v="5"/>
        <m/>
        <s v="300"/>
        <s v="600"/>
        <s v="200"/>
        <s v="2200"/>
        <s v="350"/>
      </sharedItems>
    </cacheField>
    <cacheField name="OutOfStock" numFmtId="0">
      <sharedItems count="2">
        <s v="Out of Stock"/>
        <s v="-"/>
      </sharedItems>
    </cacheField>
    <cacheField name="FullName" numFmtId="0">
      <sharedItems/>
    </cacheField>
    <cacheField name="Del_IDSpecialtyHardware" numFmtId="0">
      <sharedItems count="1">
        <s v=" SPECIALTYHARDWARE"/>
      </sharedItems>
    </cacheField>
    <cacheField name="FilenameSpecs" numFmtId="0">
      <sharedItems/>
    </cacheField>
    <cacheField name="IDSpecialtyHardware" numFmtId="0">
      <sharedItems containsBlank="1"/>
    </cacheField>
    <cacheField name="QTY_Ordered" numFmtId="0">
      <sharedItems containsString="0" containsBlank="1" containsNumber="1" containsInteger="1" minValue="100" maxValue="2200" count="7">
        <m/>
        <n v="300"/>
        <n v="600"/>
        <n v="200"/>
        <n v="100"/>
        <n v="2200"/>
        <n v="350"/>
      </sharedItems>
    </cacheField>
    <cacheField name="InventoryDate" numFmtId="0">
      <sharedItems containsNonDate="0" containsDate="1" containsString="0" containsBlank="1" minDate="2021-10-27T00:00:00" maxDate="2021-11-23T00:00:00" count="7">
        <m/>
        <d v="2021-11-10T00:00:00"/>
        <d v="2021-10-27T00:00:00"/>
        <d v="2021-11-04T00:00:00"/>
        <d v="2021-11-06T00:00:00"/>
        <d v="2021-11-07T00:00:00"/>
        <d v="2021-11-22T00:00:00"/>
      </sharedItems>
    </cacheField>
    <cacheField name="Category" numFmtId="0">
      <sharedItems containsBlank="1" count="10">
        <s v="Bearing balls"/>
        <s v="Misc"/>
        <s v="CourseKits"/>
        <s v="Machine screws"/>
        <s v="Nuts"/>
        <s v="Wooden screws"/>
        <s v="Washers"/>
        <s v="Hex bolts"/>
        <s v="Rivets"/>
        <m/>
      </sharedItems>
    </cacheField>
    <cacheField name="ID" numFmtId="0">
      <sharedItems containsSemiMixedTypes="0" containsString="0" containsNumber="1" containsInteger="1" minValue="1" maxValue="95"/>
    </cacheField>
    <cacheField name="Path" numFmtId="0">
      <sharedItems count="1">
        <s v="sites/fase-myhalfabrication/Lists/SpecialtyHardware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" refreshedDate="44571.408484375002" createdVersion="6" refreshedVersion="6" minRefreshableVersion="3" recordCount="91" xr:uid="{F1A38FF0-4310-434F-AE77-EECB378B4862}">
  <cacheSource type="external" connectionId="3"/>
  <cacheFields count="14">
    <cacheField name="Filename" numFmtId="0">
      <sharedItems count="88">
        <s v="Birch Ply 1/8&quot;"/>
        <s v="MDF 1/8&quot;"/>
        <s v="Acrylic Black 1/8&quot;"/>
        <s v="Acrylic Black 1/4&quot;"/>
        <s v="Acrylic White 1/8&quot;"/>
        <s v="Acrylic White 1/4&quot;"/>
        <s v="Acrylic Clear 1/16&quot;"/>
        <s v="Acrylic Clear 1/8&quot;"/>
        <s v="Acrylic Clear 1/4&quot;"/>
        <s v="Acrylic Frost 1/16&quot;"/>
        <s v="Acrylic Frost 1/8&quot;"/>
        <s v="Acrylic Frost 1/4&quot;"/>
        <s v="Birch Ply 3/4&quot;"/>
        <s v="Birch Ply 1/2&quot;"/>
        <s v="Spruce 2x4"/>
        <s v="Foam core white 1/8&quot;"/>
        <s v="XPS Blue 1/2&quot;"/>
        <s v="Honeycomb Board 1/2&quot;"/>
        <s v="Cardboard 5/32&quot;"/>
        <s v="Paperboard 1/16&quot;"/>
        <s v="Paperboard 1/32&quot;"/>
        <s v="Birch ply 1/4&quot;"/>
        <s v="MDF 1/2&quot;"/>
        <s v="Birch ply 1/32&quot;"/>
        <s v="PE foam White 1/2&quot;"/>
        <s v="Cardboard Double Wall 1/4&quot;"/>
        <s v="Cardboard 3/16&quot;"/>
        <s v="Foam core white 3/16&quot;"/>
        <s v="Foam core black 3/16&quot;"/>
        <s v="MDF 1/4&quot;"/>
        <s v="Spruce 2x2"/>
        <s v="Balsa sheet 1/32&quot;&quot;"/>
        <s v="Balsa sheet 1/8&quot;"/>
        <s v="Flexible plywood 13/64&quot;"/>
        <s v="Flexible plywood 5/16&quot;"/>
        <s v="Balsa block 1&quot;x1&quot;"/>
        <s v="Balsa block 2&quot;x2&quot;"/>
        <s v="Balsa block 3&quot;x3&quot;"/>
        <s v="Balsa sticks soft (specify size)"/>
        <s v="Birch dowel round (specify size)"/>
        <s v="Basswood stick square (specify size)"/>
        <s v="EPS Foam White 1/2&quot;"/>
        <s v="EPS Foam White 2&quot;"/>
        <s v="Particleboard 3/8&quot;"/>
        <s v="Particleboard 1/2&quot;"/>
        <s v="Acrylic Colored 1/8&quot;"/>
        <s v="Mat Board CIV102"/>
        <s v="Corrugated Plastic"/>
        <s v="Cardstock"/>
        <s v="Clear vinyl sheet"/>
        <s v="EVA black 1/8&quot;"/>
        <s v="EVA black 1/4&quot;"/>
        <s v="EVA black 1/2&quot;"/>
        <s v="Worbla black"/>
        <s v="PVC Pipe 1/2&quot;"/>
        <s v="PVC Pipe 3/4&quot;"/>
        <s v="PVC Pipe 1&quot;"/>
        <s v="Cardboard tube 2&quot;"/>
        <s v="Balsa sheet 1/16&quot;"/>
        <s v="Spruce 1x2"/>
        <s v="Pine board 12&quot;"/>
        <s v="Maple board 1&quot;"/>
        <s v="XPS Blue 2&quot;"/>
        <s v="Birch dowel 1/8&quot;"/>
        <s v="Birch dowel 3/16&quot;"/>
        <s v="Birch dowel 1/4&quot;"/>
        <s v="Birch dowel 5/16&quot;"/>
        <s v="Birch dowel 3/8&quot;"/>
        <s v="Birch dowel 7/16&quot;"/>
        <s v="Birch dowel 1/2&quot;"/>
        <s v="Birch dowel 5/8&quot;"/>
        <s v="Birch dowel 3/4&quot;"/>
        <s v="Birch dowel 7/8&quot;"/>
        <s v="Birch dowel 1&quot;"/>
        <s v="Birch dowel 1-1/8&quot;"/>
        <s v="Birch dowel 1-1/4&quot;"/>
        <s v="Bass stick 1/32 x 1/32&quot;"/>
        <s v="Bass stick 1/16 x 1/16&quot;"/>
        <s v="Bass stick 1/8 x 1/8&quot;"/>
        <s v="Bass stick 1/8 x 1/4&quot;"/>
        <s v="Bass stick 1/8 x 3/8&quot;"/>
        <s v="Bass stick 1/8 x 1/2&quot;"/>
        <s v="Bass stick 1/8 x 3/4&quot;"/>
        <s v="Bass stick 1/4 x 1/4&quot;"/>
        <s v="Bass stick 3/8 x 3/8&quot;"/>
        <s v="Bass stick 1/2 x 1/2&quot;"/>
        <s v="Bass stick 3/4 x 3/4&quot;"/>
        <s v="Bass stick 1 x 1&quot;"/>
      </sharedItems>
    </cacheField>
    <cacheField name="Laser" numFmtId="0">
      <sharedItems count="17">
        <s v="Birch Ply"/>
        <s v="MDF"/>
        <s v="Acrylic"/>
        <s v="Spruce"/>
        <s v="Foam"/>
        <s v="Cardboard"/>
        <s v="Balsa sheet"/>
        <s v="Flex plywood"/>
        <s v="Balsa Block"/>
        <s v="Sticks"/>
        <s v="Dowel"/>
        <s v="Board"/>
        <s v="Corrugated Plastic"/>
        <s v="Vynil Sheet"/>
        <s v="EVA"/>
        <s v="Worbla A Black"/>
        <s v="PVC Pipe"/>
      </sharedItems>
    </cacheField>
    <cacheField name="Cost" numFmtId="0">
      <sharedItems containsString="0" containsBlank="1" containsNumber="1" minValue="0" maxValue="31.66" count="74">
        <n v="2.61"/>
        <n v="1.85"/>
        <n v="15.76"/>
        <n v="31.52"/>
        <n v="7.74"/>
        <n v="14.18"/>
        <n v="31.66"/>
        <n v="12.89"/>
        <n v="3.05"/>
        <n v="1.97"/>
        <n v="0.54"/>
        <n v="7.54"/>
        <n v="0.87"/>
        <n v="2.52"/>
        <n v="1.92"/>
        <n v="2.2799999999999998"/>
        <n v="0.51"/>
        <n v="1.22"/>
        <n v="1.04"/>
        <n v="13.3"/>
        <n v="3.23"/>
        <n v="4.71"/>
        <n v="3.62"/>
        <n v="4.7300000000000004"/>
        <n v="3.52"/>
        <n v="0.64"/>
        <n v="1.07"/>
        <n v="1.29"/>
        <n v="0.38"/>
        <n v="0.56000000000000005"/>
        <n v="1.26"/>
        <n v="1.63"/>
        <n v="1.81"/>
        <n v="5.29"/>
        <n v="11.91"/>
        <m/>
        <n v="3.73"/>
        <n v="15.47"/>
        <n v="0.9"/>
        <n v="19.34"/>
        <n v="0"/>
        <n v="7.5"/>
        <n v="0.12"/>
        <n v="2.15"/>
        <n v="2.6"/>
        <n v="3.58"/>
        <n v="7.88"/>
        <n v="0.56999999999999995"/>
        <n v="0.67"/>
        <n v="0.79"/>
        <n v="1.0900000000000001"/>
        <n v="0.27"/>
        <n v="10.029999999999999"/>
        <n v="2.5299999999999998"/>
        <n v="0.11"/>
        <n v="0.16"/>
        <n v="0.18"/>
        <n v="0.22"/>
        <n v="0.28000000000000003"/>
        <n v="0.48"/>
        <n v="1.1100000000000001"/>
        <n v="0.45"/>
        <n v="2.56"/>
        <n v="3.12"/>
        <n v="0.08"/>
        <n v="0.1"/>
        <n v="0.17"/>
        <n v="0.26"/>
        <n v="0.34"/>
        <n v="0.42"/>
        <n v="0.43"/>
        <n v="0.61"/>
        <n v="0.72"/>
        <n v="0.99"/>
      </sharedItems>
    </cacheField>
    <cacheField name="Image" numFmtId="0">
      <sharedItems/>
    </cacheField>
    <cacheField name="Full Name" numFmtId="0">
      <sharedItems/>
    </cacheField>
    <cacheField name="UnitSize" numFmtId="0">
      <sharedItems count="15">
        <s v="18&quot;x24&quot;"/>
        <s v="12&quot;x12&quot;"/>
        <s v="12&quot;"/>
        <s v="20&quot;x30&quot;"/>
        <s v="24&quot;x48&quot;"/>
        <s v="30&quot;x40&quot;"/>
        <s v="30&quot;x20&quot;"/>
        <s v="6&quot;x12&quot;"/>
        <s v="6&quot;x24&quot;"/>
        <s v="3&quot;x12&quot;"/>
        <s v="18&quot;"/>
        <s v="1 unit"/>
        <s v="8.5x11&quot;"/>
        <s v="36&quot;"/>
        <s v="24&quot;"/>
      </sharedItems>
    </cacheField>
    <cacheField name="DEL_OutofStock" numFmtId="0">
      <sharedItems containsString="0" containsBlank="1" count="1">
        <m/>
      </sharedItems>
    </cacheField>
    <cacheField name="Stock" numFmtId="0">
      <sharedItems containsString="0" containsBlank="1" count="1">
        <m/>
      </sharedItems>
    </cacheField>
    <cacheField name="QTY_Ordered" numFmtId="0">
      <sharedItems containsString="0" containsBlank="1" count="1">
        <m/>
      </sharedItems>
    </cacheField>
    <cacheField name="InventoryDate" numFmtId="0">
      <sharedItems containsNonDate="0" containsString="0" containsBlank="1" count="1">
        <m/>
      </sharedItems>
    </cacheField>
    <cacheField name="OutOfStock" numFmtId="0">
      <sharedItems containsString="0" containsBlank="1" count="1">
        <m/>
      </sharedItems>
    </cacheField>
    <cacheField name="LaserCompatible" numFmtId="0">
      <sharedItems count="2">
        <b v="1"/>
        <b v="0"/>
      </sharedItems>
    </cacheField>
    <cacheField name="Path" numFmtId="0">
      <sharedItems count="1">
        <s v="sites/fase-myhalfabrication/Lists/Consumables  list"/>
      </sharedItems>
    </cacheField>
    <cacheField name="Item Type" numFmtId="0">
      <sharedItems count="1">
        <s v="Item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x" refreshedDate="44571.408491319446" createdVersion="6" refreshedVersion="6" minRefreshableVersion="3" recordCount="119" xr:uid="{88EADBB7-14A7-4955-A974-271B1ABA614D}">
  <cacheSource type="external" connectionId="4"/>
  <cacheFields count="15">
    <cacheField name="ID" numFmtId="0">
      <sharedItems containsSemiMixedTypes="0" containsString="0" containsNumber="1" containsInteger="1" minValue="1" maxValue="124"/>
    </cacheField>
    <cacheField name="Filename" numFmtId="0">
      <sharedItems count="120">
        <s v="Solder Breadboard (10row x 5column)"/>
        <s v="Solder Breadboard (16row x 5column)"/>
        <s v="22awg solid black 1 ft"/>
        <s v="22awg solid blue 1 ft"/>
        <s v="Pin header 40 contacts"/>
        <s v="PCB receptacle board to board 4pos 1 ros"/>
        <s v="Voltage regulator 3.3 V"/>
        <s v="Relay DPDT 2A 5V"/>
        <s v="Transistor TIP147"/>
        <s v="Resistors"/>
        <s v="Diode 1N4001"/>
        <s v="Analog Temperature sensor"/>
        <s v="LED"/>
        <s v="22awg solid violet 1ft"/>
        <s v="22awg solid yellow 1ft"/>
        <s v="22awg solid brown 1ft"/>
        <s v="Jumper wire M-F"/>
        <s v="Jumper wire F-F"/>
        <s v="Jumper wire M-M"/>
        <s v="22awg solig green 1 ft"/>
        <s v="22awg solid red 1ft"/>
        <s v="Pin header 20 contacts"/>
        <s v="Voltage regulator 12V 7812"/>
        <s v="Voltage regulator negative 5V (7905)"/>
        <s v="Dupont Connector 2 pin "/>
        <s v="Dupont Connector 3 pin"/>
        <s v="Dupont Connector 5 pin"/>
        <s v="Dupont Connector 6 pin"/>
        <s v="Dupont Connecter 7 pin"/>
        <s v="Dupont Connector 8 pin"/>
        <s v="Dupont Connector 9 pin"/>
        <s v="Dupont Connector 10 pin"/>
        <s v="F-M Stackable Header 4 pin"/>
        <s v="F-M Stackable Header 6 pin"/>
        <s v="Dupont Connector Reed F (10 units)"/>
        <s v="Dupont Connector Reed M (10 units)"/>
        <s v="DC Female Connector"/>
        <s v="DC Male Connector"/>
        <s v="Electrolytic Capacitors"/>
        <s v="Ceramic Capacitors"/>
        <s v="Potentiometers"/>
        <s v="Transistor TIP142"/>
        <s v="Voltage regulator 5V (7805)"/>
        <s v="Flexible coupler 5 to 8mm"/>
        <s v="Pot 10 K linear"/>
        <s v="220 ohms resistor"/>
        <s v="330 ohms resistor"/>
        <s v="1 Kohms resistor"/>
        <s v="2 Kohms resistor"/>
        <s v="5.1 Kohms resistor"/>
        <s v="10 Kohms resistor"/>
        <s v="AC-DC power supply 12V 5A"/>
        <s v="AA case 8"/>
        <s v="AA case 4"/>
        <s v="Breadboard S 3.20&quot; x 2.08&quot;"/>
        <s v="Breadboard L 6.50&quot; x 2.15&quot;"/>
        <s v="USB to Micro USB cable"/>
        <s v="Toggle switch DPDT momentary"/>
        <s v="Relay module 5V"/>
        <s v="Logic Level Converter"/>
        <s v="RPI Pico"/>
        <s v="Arduino Mega 2560"/>
        <s v="Arduino Nano RP2040"/>
        <s v="Ultrasonic sensor"/>
        <s v="Distance sensor optical analog"/>
        <s v="Weight sensor (Load cell)"/>
        <s v="RPI PINOIR Camera"/>
        <s v="Pressure sensor"/>
        <s v="Gravity soil moisture sensor"/>
        <s v="DHT22 Temp-humidity sensor"/>
        <s v="Humidity/ temp sensor"/>
        <s v="Photoresistor"/>
        <s v="Mini stepper Motor Nema 8"/>
        <s v="Stepper motor Nema 23"/>
        <s v="Adafruit Bluefruit LE UART"/>
        <s v="Wifi antenna"/>
        <s v="Type B USB for Arduino"/>
        <s v="Thermistor"/>
        <s v="PIR sensor"/>
        <s v="Stepper motor Nema 17"/>
        <s v="DC Gear Motor 6V 100RPM w/ encoder"/>
        <s v="Micro metal gear motor 6V w/ encoder"/>
        <s v="2A motor driver"/>
        <s v="Arduino UNO R3"/>
        <s v="Push button"/>
        <s v="DC Gear motor 12V 60 RPM w/encoder"/>
        <s v="MG996R Servo motor"/>
        <s v="DC Barrel Adapter - BrdBrd"/>
        <s v="3-Position Breakout"/>
        <s v="SilyWheels"/>
        <s v="Toggle switch DPDT latching"/>
        <s v="Hex Standoff M3 50mm M-F"/>
        <s v="Hex Standoff M3 x 25mm  M-F Brass"/>
        <s v="Hex Standoff M3 20mm F-F "/>
        <s v="Hex Standoff M3 10.00mm F-M  Brass "/>
        <s v="Hex Standoff M3  8.00mm F-M "/>
        <s v="Diode 1N5819"/>
        <s v="Mosfet IRF510"/>
        <s v="Diode 1N4148"/>
        <s v="JST 3 pin"/>
        <s v="JST 6 pin"/>
        <s v="Dupont Cable F-F 4 pin"/>
        <s v="Dupont Cable M-F 4 pin"/>
        <s v="JST 6 pin Small"/>
        <s v="Power Connector 2 pin F and M"/>
        <s v="Plunger Clips"/>
        <s v="Timing belt pulley T2"/>
        <s v="Timing Belt T2"/>
        <s v="Turnigy NiMH 7.2V 3000mAh Battery"/>
        <s v="DC to DC Converter 12V"/>
        <s v="DC to DC Converter 6V"/>
        <s v="Motor Hub 3mm"/>
        <s v="Wheel (Blue)"/>
        <s v="Wheel (Narrow)"/>
        <s v="Mecanum Wheel"/>
        <s v="Stepper motor driver A4988"/>
        <s v="Micro SD card module"/>
        <s v="Hex coupler 3mm"/>
        <s v="GPS L76B GNSS Module"/>
        <s v="Test if refresh" u="1"/>
      </sharedItems>
    </cacheField>
    <cacheField name="Path" numFmtId="0">
      <sharedItems count="1">
        <s v="sites/fase-myhalfabrication/Lists/Mechatronics_new"/>
      </sharedItems>
    </cacheField>
    <cacheField name="Item Type" numFmtId="0">
      <sharedItems count="1">
        <s v="Item"/>
      </sharedItems>
    </cacheField>
    <cacheField name="Cost" numFmtId="0">
      <sharedItems containsString="0" containsBlank="1" containsNumber="1" minValue="0.01" maxValue="99"/>
    </cacheField>
    <cacheField name="Image" numFmtId="0">
      <sharedItems containsBlank="1"/>
    </cacheField>
    <cacheField name="Category" numFmtId="0">
      <sharedItems count="8">
        <s v="Connect"/>
        <s v="Power"/>
        <s v="Component"/>
        <s v="Sensor"/>
        <s v="Motor"/>
        <s v="MCU"/>
        <s v="Communication"/>
        <s v="Hardware"/>
      </sharedItems>
    </cacheField>
    <cacheField name="Spec sheet" numFmtId="0">
      <sharedItems containsBlank="1" count="67" longText="1">
        <s v="https://www.mouser.ca/datasheet/2/73/SBB1005_1-2488414.pdf_x000a_https://www.mouser.ca/datasheet/2/73/SBB1005_1-2488414.pdf"/>
        <s v="https://www.mouser.ca/datasheet/2/73/SBB1605_1-2488593.pdf_x000a_https://www.mouser.ca/datasheet/2/73/SBB1605_1-2488593.pdf"/>
        <s v="http://www.cnctech.us/pdfs/UL%2010982%20AWG%2022.pdf_x000a_http://www.cnctech.us/pdfs/UL%2010982%20AWG%2022.pdf"/>
        <s v="https://www.alphawire.com/products/wire/hook-up-wire/premium/3051_1/_x000a_https://www.alphawire.com/products/wire/hook-up-wire/premium/3051_1/"/>
        <s v="https://www.we-online.com/katalog/datasheet/61304011121.pdf_x000a_https://www.we-online.com/katalog/datasheet/61304011121.pdf"/>
        <s v="https://www.farnell.com/datasheets/185042.pdf?_ga=2.21328568.2054498849.1629474812-1963937051.1613669872&amp;_gac=1.118996091.1629474812.Cj0KCQjwpf2IBhDkARIsAGVo0D3Nq0169lJZwweYV3jyhYvTXDjXJhqs6YIh56RBfJMwRF8xWkWAw-8aAg8CEALw_wcB_x000a_https://www.farnell.com/datasheets/185042.pdf?_ga=2.21328568.2054498849.1629474812-1963937051.1613669872&amp;_gac=1.118996091.1629474812.Cj0KCQjwpf2IBhDkARIsAGVo0D3Nq0169lJZwweYV3jyhYvTXDjXJhqs6YIh56RBfJMwRF8xWkWAw-8aAg8CEALw_wcB"/>
        <s v="https://www.mouser.ca/datasheet/2/389/cd00001884-1795582.pdf_x000a_https://www.mouser.ca/datasheet/2/389/cd00001884-1795582.pdf"/>
        <s v="https://www.te.com/commerce/DocumentDelivery/DDEController?Action=srchrtrv&amp;DocNm=1462000-2&amp;DocType=Customer+Drawing&amp;DocLang=English_x000a_https://www.te.com/commerce/DocumentDelivery/DDEController?Action=srchrtrv&amp;DocNm=1462000-2&amp;DocType=Customer+Drawing&amp;DocLang=English"/>
        <s v="https://www.onsemi.com/pdf/datasheet/tip147t-d.pdf_x000a_https://www.onsemi.com/pdf/datasheet/tip147t-d.pdf"/>
        <m/>
        <s v="https://www.vishay.com/docs/88503/1n4001.pdf_x000a_https://www.vishay.com/docs/88503/1n4001.pdf"/>
        <s v="https://www.mouser.ca/datasheet/2/609/TMP35_36_37-1504323.pdf_x000a_https://www.mouser.ca/datasheet/2/609/TMP35_36_37-1504323.pdf"/>
        <s v="https://learn.adafruit.com/all-about-leds/the-led-datasheet_x000a_https://learn.adafruit.com/all-about-leds/the-led-datasheet"/>
        <s v="https://www.we-online.com/katalog/datasheet/6130xx11121.pdf_x000a_https://www.we-online.com/katalog/datasheet/6130xx11121.pdf"/>
        <s v="https://www.mouser.com/datasheet/2/149/LM7812-461970.pdf_x000a_https://www.mouser.com/datasheet/2/149/LM7812-461970.pdf"/>
        <s v="https://www.st.com/content/ccc/resource/technical/document/datasheet/e9/be/53/a3/1f/6f/4f/75/CD00000449.pdf/files/CD00000449.pdf/jcr:content/translations/en.CD00000449.pdf_x000a_https://www.st.com/content/ccc/resource/technical/document/datasheet/e9/be/53/a3/1f/6f/4f/75/CD00000449.pdf/files/CD00000449.pdf/jcr:content/translations/en.CD00000449.pdf"/>
        <s v="https://www.onsemi.com/pdf/datasheet/tip140-d.pdf_x000a_https://www.onsemi.com/pdf/datasheet/tip140-d.pdf"/>
        <s v="https://www.mouser.ca/datasheet/2/389/cd00000444-1795274.pdf_x000a_https://www.mouser.ca/datasheet/2/389/cd00000444-1795274.pdf"/>
        <s v="https://www.piher.net/piher-nacesa.com/pdf/14-PT15v03.pdf_x000a_https://www.piher.net/piher-nacesa.com/pdf/14-PT15v03.pdf"/>
        <s v="https://www.seielect.com/catalog/sei-cf_cfm.pdf_x000a_https://www.seielect.com/catalog/sei-cf_cfm.pdf"/>
        <s v="https://www.mouser.ca/datasheet/2/209/EPD-200837-1171481.pdf_x000a_https://www.mouser.ca/datasheet/2/209/EPD-200837-1171481.pdf"/>
        <s v="https://www.digikey.ca/en/products/detail/keystone-electronics/2478CN/7385278?s=N4IgTCBcDaIMwDYC0YAsB2AHAYQHJNwBEQBdAXyA_x000a_https://www.digikey.ca/en/products/detail/keystone-electronics/2478CN/7385278?s=N4IgTCBcDaIMwDYC0YAsB2AHAYQHJNwBEQBdAXyA"/>
        <s v="https://www.farnell.com/datasheets/1786645.pdf_x000a_https://www.farnell.com/datasheets/1786645.pdf"/>
        <s v="https://www.budind.com/wp-content/uploads/2019/12/BB-32656.pdf_x000a_https://www.budind.com/wp-content/uploads/2019/12/BB-32656.pdf"/>
        <s v="https://www.farnell.com/datasheets/2945647.pdf_x000a_https://www.farnell.com/datasheets/2945647.pdf"/>
        <s v="https://www.farnell.com/datasheets/2548967.pdf?_ga=2.125107465.2054498849.1629474812-1963937051.1613669872&amp;_gac=1.184537684.1629474812.Cj0KCQjwpf2IBhDkARIsAGVo0D3Nq0169lJZwweYV3jyhYvTXDjXJhqs6YIh56RBfJMwRF8xWkWAw-8aAg8CEALw_wcB_x000a_https://www.farnell.com/datasheets/2548967.pdf?_ga=2.125107465.2054498849.1629474812-1963937051.1613669872&amp;_gac=1.184537684.1629474812.Cj0KCQjwpf2IBhDkARIsAGVo0D3Nq0169lJZwweYV3jyhYvTXDjXJhqs6YIh56RBfJMwRF8xWkWAw-8aAg8CEALw_wcB"/>
        <s v="https://www.sparkfun.com/products/12009_x000a_https://www.sparkfun.com/products/12009"/>
        <s v="https://datasheets.raspberrypi.org/pico/pico-datasheet.pdf_x000a_https://datasheets.raspberrypi.org/pico/pico-datasheet.pdf"/>
        <s v="https://store.arduino.cc/usa/mega-2560-r3_x000a_https://store.arduino.cc/usa/mega-2560-r3"/>
        <s v="https://www.mouser.ca/datasheet/2/34/ABX00053_datasheet-2487198.pdf_x000a_https://www.mouser.ca/datasheet/2/34/ABX00053_datasheet-2487198.pdf"/>
        <s v="https://media.digikey.com/pdf/Data%20Sheets/Adafruit%20PDFs/4007_Web.pdf_x000a_https://media.digikey.com/pdf/Data%20Sheets/Adafruit%20PDFs/4007_Web.pdf"/>
        <s v="https://media.digikey.com/pdf/Data%20Sheets/Sharp%20PDFs/GP2Y0A41SK0F_Spec.pdf_x000a_https://media.digikey.com/pdf/Data%20Sheets/Sharp%20PDFs/GP2Y0A41SK0F_Spec.pdf"/>
        <s v="https://media.digikey.com/pdf/Data%20Sheets/Seeed%20Technology/114990100_Web.pdf_x000a_https://media.digikey.com/pdf/Data%20Sheets/Seeed%20Technology/114990100_Web.pdf"/>
        <s v="https://www.raspberrypi.org/products/pi-noir-camera-v2/_x000a_https://www.raspberrypi.org/products/pi-noir-camera-v2/"/>
        <s v="https://sensing.honeywell.com/honeywell-sensing-trustability-ssc-series-standard-accuracy-board-mount-pressure-sensors-50099533-a-en.pdf_x000a_https://sensing.honeywell.com/honeywell-sensing-trustability-ssc-series-standard-accuracy-board-mount-pressure-sensors-50099533-a-en.pdf"/>
        <s v="https://wiki.dfrobot.com/Moisture_Sensor__SKU_SEN0114__x000a_https://wiki.dfrobot.com/Moisture_Sensor__SKU_SEN0114_"/>
        <s v="https://www.mouser.ca/datasheet/2/737/dht-932870.pdf_x000a_https://www.mouser.ca/datasheet/2/737/dht-932870.pdf"/>
        <s v="https://www.farnell.com/datasheets/1927619.pdf?_ga=2.24458937.2054498849.1629474812-1963937051.1613669872&amp;_gac=1.158316872.1629474812.Cj0KCQjwpf2IBhDkARIsAGVo0D3Nq0169lJZwweYV3jyhYvTXDjXJhqs6YIh56RBfJMwRF8xWkWAw-8aAg8CEALw_wcB_x000a_https://www.farnell.com/datasheets/1927619.pdf?_ga=2.24458937.2054498849.1629474812-1963937051.1613669872&amp;_gac=1.158316872.1629474812.Cj0KCQjwpf2IBhDkARIsAGVo0D3Nq0169lJZwweYV3jyhYvTXDjXJhqs6YIh56RBfJMwRF8xWkWAw-8aAg8CEALw_wcB"/>
        <s v="https://www.farnell.com/datasheets/1815595.pdf_x000a_https://www.farnell.com/datasheets/1815595.pdf"/>
        <s v="https://www.adafruit.com/product/4411_x000a_https://www.adafruit.com/product/4411"/>
        <s v="https://www.mouser.ca/datasheet/2/813/57BYGH420_2-2488166.pdf_x000a_https://www.mouser.ca/datasheet/2/813/57BYGH420_2-2488166.pdf"/>
        <s v="https://www.mouser.ca/datasheet/2/737/introducing-the-adafruit-bluefruit-le-uart-friend-932882.pdf_x000a_https://www.mouser.ca/datasheet/2/737/introducing-the-adafruit-bluefruit-le-uart-friend-932882.pdf"/>
        <s v="https://www.mouser.ca/datasheet/2/238/ant_w63rpc1_ds-1927937.pdf_x000a_https://www.mouser.ca/datasheet/2/238/ant_w63rpc1_ds-1927937.pdf"/>
        <s v="https://learn.adafruit.com/thermistor_x000a_https://learn.adafruit.com/thermistor"/>
        <s v="https://cdn-shop.adafruit.com/product-files/4667/4667_C15116.pdf_x000a_https://cdn-shop.adafruit.com/product-files/4667/4667_C15116.pdf"/>
        <s v="https://utoronto.sharepoint.com/sites/fase-myhalfabrication/MechDataSheets/Forms/AllItems.aspx?id=%2Fsites%2Ffase%2Dmyhalfabrication%2FMechDataSheets%2FStepper%5F17HS3401S%2Epdf&amp;parent=%2Fsites%2Ffase%2Dmyhalfabrication%2FMechDataSheets_x000a_https://utoronto.sharepoint.com/sites/fase-myhalfabrication/MechDataSheets/Forms/AllItems.aspx?id=%2Fsites%2Ffase%2Dmyhalfabrication%2FMechDataSheets%2FStepper%5F17HS3401S%2Epdf&amp;parent=%2Fsites%2Ffase%2Dmyhalfabrication%2FMechDataSheets"/>
        <s v="https://media.digikey.com/pdf/Data%20Sheets/DFRobot%20PDFs/FIT0522_Web.pdf_x000a_https://media.digikey.com/pdf/Data%20Sheets/DFRobot%20PDFs/FIT0522_Web.pdf"/>
        <s v="https://www.digikey.com/htmldatasheets/production/2303784/0/0/1/fit0484.html_x000a_https://www.digikey.com/htmldatasheets/production/2303784/0/0/1/fit0484.html"/>
        <s v="http://www.handsontec.com/dataspecs/L298N%20Motor%20Driver.pdf_x000a_http://www.handsontec.com/dataspecs/L298N%20Motor%20Driver.pdf"/>
        <s v="https://www.farnell.com/datasheets/1682209.pdf_x000a_https://www.farnell.com/datasheets/1682209.pdf"/>
        <s v="https://omronfs.omron.com/en_US/ecb/products/pdf/en-b3f.pdf_x000a_https://omronfs.omron.com/en_US/ecb/products/pdf/en-b3f.pdf"/>
        <s v="https://pdf1.alldatasheet.com/datasheet-pdf/view/1131873/ETC2/MG996R.html_x000a_https://pdf1.alldatasheet.com/datasheet-pdf/view/1131873/ETC2/MG996R.html"/>
        <s v="https://www.mouser.ca/datasheet/2/813/18742-2529326.pdf_x000a_https://www.mouser.ca/datasheet/2/813/18742-2529326.pdf"/>
        <s v="https://www.mouser.ca/datasheet/2/595/BB-TERM3-471790.pdf_x000a_https://www.mouser.ca/datasheet/2/595/BB-TERM3-471790.pdf"/>
        <s v="https://www.citrelay.com/Catalog%20Pages/SwitchCatalog/ANT.pdf_x000a_https://www.citrelay.com/Catalog%20Pages/SwitchCatalog/ANT.pdf"/>
        <s v="https://www.we-online.com/katalog/datasheet/971500324.pdf_x000a_https://www.we-online.com/katalog/datasheet/971500324.pdf"/>
        <s v="https://www.we-online.com/katalog/datasheet/971250244.pdf_x000a_https://www.we-online.com/katalog/datasheet/971250244.pdf"/>
        <s v="https://www.keyelco.com/userAssets/file/M65p76.pdf_x000a_https://www.keyelco.com/userAssets/file/M65p76.pdf"/>
        <s v="https://www.we-online.com/katalog/datasheet/971100354.pdf_x000a_https://www.we-online.com/katalog/datasheet/971100354.pdf"/>
        <s v="https://www.mouser.ca/datasheet/2/427/1n5817-1768225.pdf_x000a_https://www.mouser.ca/datasheet/2/427/1n5817-1768225.pdf"/>
        <s v="https://www.vishay.com/docs/91015/irf510.pdf_x000a_https://www.vishay.com/docs/91015/irf510.pdf"/>
        <s v="https://www.vishay.com/docs/81857/1n4148.pdf_x000a_https://www.vishay.com/docs/81857/1n4148.pdf"/>
        <s v="https://hobbyking.com/en_us/turnigy-stick-pack-sub-c-3000mah-7-2v-nimh-high-power-series.html_x000a_https://hobbyking.com/en_us/turnigy-stick-pack-sub-c-3000mah-7-2v-nimh-high-power-series.html"/>
        <s v="https://www.openimpulse.com/blog/wp-content/uploads/wpsc/downloadables/MP1584-Datasheet.pdf_x000a_https://www.openimpulse.com/blog/wp-content/uploads/wpsc/downloadables/MP1584-Datasheet.pdf"/>
        <s v="https://components101.com/sites/default/files/component_datasheet/Micro-SD-Card-Module-Datasheet.pdf_x000a_https://components101.com/sites/default/files/component_datasheet/Micro-SD-Card-Module-Datasheet.pdf"/>
        <s v="https://www.aliexpress.com/item/32955694782.html?spm=a2g0o.search0302.0.0.cfdcc102tU1RJv&amp;algo_pvid=9e7e75c2-541e-45d5-b84c-968a4ca9f664&amp;algo_exp_id=9e7e75c2-541e-45d5-b84c-968a4ca9f664-27_x000a_https://www.aliexpress.com/item/32955694782.html?spm=a2g0o.search0302.0.0.cfdcc102tU1RJv&amp;algo_pvid=9e7e75c2-541e-45d5-b84c-968a4ca9f664&amp;algo_exp_id=9e7e75c2-541e-45d5-b84c-968a4ca9f664-27"/>
        <s v="https://www.waveshare.com/pico-gps-l76b.htm_x000a_https://www.waveshare.com/pico-gps-l76b.htm"/>
      </sharedItems>
    </cacheField>
    <cacheField name="Stock" numFmtId="0">
      <sharedItems containsString="0" containsBlank="1" containsNumber="1" containsInteger="1" minValue="1" maxValue="8200" count="30">
        <n v="10"/>
        <n v="200"/>
        <n v="100"/>
        <n v="182"/>
        <n v="61"/>
        <n v="8200"/>
        <n v="300"/>
        <n v="340"/>
        <m/>
        <n v="1000"/>
        <n v="2000"/>
        <n v="800"/>
        <n v="500"/>
        <n v="22"/>
        <n v="250"/>
        <n v="5000"/>
        <n v="50"/>
        <n v="33"/>
        <n v="30"/>
        <n v="40"/>
        <n v="20"/>
        <n v="5"/>
        <n v="85"/>
        <n v="99"/>
        <n v="161"/>
        <n v="740"/>
        <n v="42"/>
        <n v="1"/>
        <n v="150"/>
        <n v="2"/>
      </sharedItems>
    </cacheField>
    <cacheField name="Fullname" numFmtId="0">
      <sharedItems containsString="0" containsBlank="1" count="1">
        <m/>
      </sharedItems>
    </cacheField>
    <cacheField name="RentalCost" numFmtId="0">
      <sharedItems containsSemiMixedTypes="0" containsString="0" containsNumber="1" minValue="0" maxValue="19.8" count="93">
        <n v="2.72"/>
        <n v="4.6100000000000003"/>
        <n v="0.33"/>
        <n v="1.21"/>
        <n v="1.18"/>
        <n v="2"/>
        <n v="4.74"/>
        <n v="2.1"/>
        <n v="0.2"/>
        <n v="0.19"/>
        <n v="2.2200000000000002"/>
        <n v="0.35"/>
        <n v="0.17"/>
        <n v="1.1000000000000001"/>
        <n v="1.24"/>
        <n v="1.47"/>
        <n v="7.0000000000000007E-2"/>
        <n v="0.44"/>
        <n v="0.12"/>
        <n v="0.42"/>
        <n v="0.89"/>
        <n v="0.03"/>
        <n v="0.06"/>
        <n v="1.62"/>
        <n v="1.28"/>
        <n v="2.4900000000000002"/>
        <n v="1.03"/>
        <n v="0.01"/>
        <n v="4.32"/>
        <n v="0.442"/>
        <n v="0.78600000000000003"/>
        <n v="1.1879999999999999"/>
        <n v="2.0880000000000001"/>
        <n v="0.46600000000000003"/>
        <n v="0.498"/>
        <n v="0.372"/>
        <n v="1.012"/>
        <n v="1.3360000000000001"/>
        <n v="13.208"/>
        <n v="9.73"/>
        <n v="1.41"/>
        <n v="2.4780000000000002"/>
        <n v="3.3340000000000001"/>
        <n v="9.1180000000000003"/>
        <n v="11.7"/>
        <n v="1.6459999999999999"/>
        <n v="3.4140000000000001"/>
        <n v="1.954"/>
        <n v="0.3"/>
        <n v="6.8440000000000003"/>
        <n v="13.272"/>
        <n v="6.0039999999999996"/>
        <n v="1.6879999999999999"/>
        <n v="0.69599999999999995"/>
        <n v="1.298"/>
        <n v="0.66200000000000003"/>
        <n v="3.5960000000000001"/>
        <n v="6.1820000000000004"/>
        <n v="3.64"/>
        <n v="0.63600000000000001"/>
        <n v="6.6779999999999999"/>
        <n v="4.3999999999999997E-2"/>
        <n v="4.0839999999999996"/>
        <n v="2.9660000000000002"/>
        <n v="0.32600000000000001"/>
        <n v="19.8"/>
        <n v="0.56000000000000005"/>
        <n v="0.182"/>
        <n v="0.11"/>
        <n v="0.124"/>
        <n v="6.4000000000000001E-2"/>
        <n v="6.6000000000000003E-2"/>
        <n v="0.14000000000000001"/>
        <n v="0.32400000000000001"/>
        <n v="2.4E-2"/>
        <n v="0.09"/>
        <n v="0.16600000000000001"/>
        <n v="0.16"/>
        <n v="0"/>
        <n v="0.28999999999999998"/>
        <n v="0.65600000000000003"/>
        <n v="0.32"/>
        <n v="0.38200000000000001"/>
        <n v="3.8439999999999999"/>
        <n v="0.65800000000000003"/>
        <n v="0.53"/>
        <n v="0.45800000000000002"/>
        <n v="0.42399999999999999"/>
        <n v="14.208"/>
        <n v="2.1240000000000001"/>
        <n v="2.262"/>
        <n v="0.26600000000000001"/>
        <n v="5.1980000000000004"/>
      </sharedItems>
    </cacheField>
    <cacheField name="Rental" numFmtId="0">
      <sharedItems count="2">
        <s v="Final Sale"/>
        <s v="Rental"/>
      </sharedItems>
    </cacheField>
    <cacheField name="IDMECHATRONICS" numFmtId="0">
      <sharedItems/>
    </cacheField>
    <cacheField name="OutOfStock" numFmtId="0">
      <sharedItems containsBlank="1" count="2">
        <m/>
        <s v="-"/>
      </sharedItems>
    </cacheField>
    <cacheField name="QTY_Ordered" numFmtId="0">
      <sharedItems containsString="0" containsBlank="1" containsNumber="1" containsInteger="1" minValue="2" maxValue="8650" count="29">
        <n v="10"/>
        <n v="200"/>
        <n v="100"/>
        <n v="182"/>
        <n v="61"/>
        <n v="8650"/>
        <n v="300"/>
        <n v="340"/>
        <m/>
        <n v="1000"/>
        <n v="2000"/>
        <n v="800"/>
        <n v="22"/>
        <n v="250"/>
        <n v="5000"/>
        <n v="50"/>
        <n v="500"/>
        <n v="33"/>
        <n v="30"/>
        <n v="40"/>
        <n v="20"/>
        <n v="5"/>
        <n v="85"/>
        <n v="99"/>
        <n v="161"/>
        <n v="740"/>
        <n v="42"/>
        <n v="150"/>
        <n v="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x v="0"/>
    <x v="0"/>
    <x v="0"/>
    <s v="https://images-na.ssl-images-amazon.com/images/I/61yjnXSieiL._SL1440_.jpg_x000a_https://images-na.ssl-images-amazon.com/images/I/61yjnXSieiL._SL1440_.jpg"/>
    <x v="0"/>
    <x v="0"/>
    <s v="Out of StockBearing Balls 1/8&quot;: 1/8&quot; - Chrome Steel, $0.05"/>
    <x v="0"/>
    <s v="Bearing Balls 1/8&quot; 1/8&quot; - Chrome Steel"/>
    <s v="1 HARDWARE"/>
    <x v="0"/>
    <x v="0"/>
    <x v="0"/>
    <n v="1"/>
    <x v="0"/>
    <x v="0"/>
  </r>
  <r>
    <x v="1"/>
    <x v="0"/>
    <x v="0"/>
    <x v="1"/>
    <s v="https://images-na.ssl-images-amazon.com/images/I/61yjnXSieiL._SL1440_.jpg_x000a_https://images-na.ssl-images-amazon.com/images/I/61yjnXSieiL._SL1440_.jpg"/>
    <x v="0"/>
    <x v="1"/>
    <s v="-Bearing Balls 3/16&quot;: 3/16&quot; - Chrome Steel, $0.05"/>
    <x v="0"/>
    <s v="Bearing Balls 3/16&quot; 3/16&quot; - Chrome Steel"/>
    <s v="2 HARDWARE"/>
    <x v="0"/>
    <x v="0"/>
    <x v="0"/>
    <n v="2"/>
    <x v="0"/>
    <x v="0"/>
  </r>
  <r>
    <x v="2"/>
    <x v="0"/>
    <x v="0"/>
    <x v="2"/>
    <s v="https://images-na.ssl-images-amazon.com/images/I/61yjnXSieiL._SL1440_.jpg_x000a_https://images-na.ssl-images-amazon.com/images/I/61yjnXSieiL._SL1440_.jpg"/>
    <x v="0"/>
    <x v="1"/>
    <s v="-Bearing Balls 5/32&quot;: 5/32&quot; - Chrome Steel, $0.05"/>
    <x v="0"/>
    <s v="Bearing Balls 5/32&quot; 5/32&quot; - Chrome Steel"/>
    <s v="3 HARDWARE"/>
    <x v="0"/>
    <x v="0"/>
    <x v="0"/>
    <n v="3"/>
    <x v="0"/>
    <x v="0"/>
  </r>
  <r>
    <x v="3"/>
    <x v="0"/>
    <x v="0"/>
    <x v="3"/>
    <s v="https://images-na.ssl-images-amazon.com/images/I/61yjnXSieiL._SL1440_.jpg_x000a_https://images-na.ssl-images-amazon.com/images/I/61yjnXSieiL._SL1440_.jpg"/>
    <x v="0"/>
    <x v="1"/>
    <s v="-Bearing Balls 7/32&quot;: 7/32&quot; - Chrome Steel, $0.05"/>
    <x v="0"/>
    <s v="Bearing Balls 7/32&quot; 7/32&quot; - Chrome Steel"/>
    <s v="4 HARDWARE"/>
    <x v="0"/>
    <x v="0"/>
    <x v="0"/>
    <n v="4"/>
    <x v="0"/>
    <x v="0"/>
  </r>
  <r>
    <x v="4"/>
    <x v="0"/>
    <x v="0"/>
    <x v="4"/>
    <s v="https://images-na.ssl-images-amazon.com/images/I/61yjnXSieiL._SL1440_.jpg_x000a_https://images-na.ssl-images-amazon.com/images/I/61yjnXSieiL._SL1440_.jpg"/>
    <x v="0"/>
    <x v="1"/>
    <s v="-Bearing Balls 1/4&quot;: 1/4&quot; - Chrome Steel, $0.05"/>
    <x v="0"/>
    <s v="Bearing Balls 1/4&quot; 1/4&quot; - Chrome Steel"/>
    <s v="5 HARDWARE"/>
    <x v="0"/>
    <x v="0"/>
    <x v="0"/>
    <n v="5"/>
    <x v="0"/>
    <x v="0"/>
  </r>
  <r>
    <x v="5"/>
    <x v="1"/>
    <x v="1"/>
    <x v="5"/>
    <s v="https://images-na.ssl-images-amazon.com/images/I/61X8ya2vV1L._SL1001_.jpg_x000a_https://images-na.ssl-images-amazon.com/images/I/61X8ya2vV1L._SL1001_.jpg"/>
    <x v="0"/>
    <x v="1"/>
    <s v="-Mini Ball Bearings: 5 mm x 11 mm x 4 mm, $1.2"/>
    <x v="0"/>
    <s v="Mini Ball Bearings 5 mm x 11 mm x 4 mm"/>
    <s v="6 HARDWARE"/>
    <x v="0"/>
    <x v="0"/>
    <x v="0"/>
    <n v="6"/>
    <x v="0"/>
    <x v="0"/>
  </r>
  <r>
    <x v="6"/>
    <x v="2"/>
    <x v="2"/>
    <x v="6"/>
    <m/>
    <x v="1"/>
    <x v="1"/>
    <s v="-Threaded rod 1/4 20: 1/4-20 Threaded rod 1 foot, $2.67"/>
    <x v="0"/>
    <s v="Threaded rod 1/4 20 1/4-20 Threaded rod 1 foot"/>
    <s v="7 HARDWARE"/>
    <x v="0"/>
    <x v="1"/>
    <x v="1"/>
    <n v="7"/>
    <x v="0"/>
    <x v="0"/>
  </r>
  <r>
    <x v="7"/>
    <x v="3"/>
    <x v="2"/>
    <x v="7"/>
    <m/>
    <x v="2"/>
    <x v="0"/>
    <s v="Out of StockESC204 Workshop Rover W/Consumables: , $99.22"/>
    <x v="0"/>
    <s v="ESC204 Workshop Rover W/Consumables "/>
    <s v="8 HARDWARE"/>
    <x v="0"/>
    <x v="0"/>
    <x v="2"/>
    <n v="8"/>
    <x v="0"/>
    <x v="0"/>
  </r>
  <r>
    <x v="8"/>
    <x v="4"/>
    <x v="2"/>
    <x v="7"/>
    <m/>
    <x v="2"/>
    <x v="0"/>
    <s v="Out of StockESC204 Workshop Consumables Only: , $13.79"/>
    <x v="0"/>
    <s v="ESC204 Workshop Consumables Only "/>
    <s v="9 HARDWARE"/>
    <x v="0"/>
    <x v="0"/>
    <x v="2"/>
    <n v="9"/>
    <x v="0"/>
    <x v="0"/>
  </r>
  <r>
    <x v="9"/>
    <x v="5"/>
    <x v="2"/>
    <x v="8"/>
    <s v="https://assets.leevalley.com/Size4/10035/99K3213-1-0-inch-x-0-125-inch-rare-earth-magnets-pkg-of-5-f-01.jpg_x000a_https://assets.leevalley.com/Size4/10035/99K3213-1-0-inch-x-0-125-inch-rare-earth-magnets-pkg-of-5-f-01.jpg"/>
    <x v="2"/>
    <x v="1"/>
    <s v="-Neodymium Magnet: 1&quot; dia x 1/8&quot; thick, $16.61"/>
    <x v="0"/>
    <s v="Neodymium Magnet 1&quot; dia x 1/8&quot; thick"/>
    <s v="10 HARDWARE"/>
    <x v="0"/>
    <x v="0"/>
    <x v="1"/>
    <n v="10"/>
    <x v="0"/>
    <x v="0"/>
  </r>
  <r>
    <x v="10"/>
    <x v="6"/>
    <x v="2"/>
    <x v="9"/>
    <m/>
    <x v="2"/>
    <x v="0"/>
    <s v="Out of StockMSE398 tensile tester Kit: 2020-2021, $100"/>
    <x v="0"/>
    <s v="MSE398 tensile tester Kit 2020-2021"/>
    <s v="11 HARDWARE"/>
    <x v="0"/>
    <x v="0"/>
    <x v="2"/>
    <n v="11"/>
    <x v="0"/>
    <x v="0"/>
  </r>
  <r>
    <x v="11"/>
    <x v="7"/>
    <x v="3"/>
    <x v="10"/>
    <s v="https://media.digikey.com/Photos/APM%20Hexseal%20Photos/RM3X6MM-2701.jpg_x000a_https://media.digikey.com/Photos/APM%20Hexseal%20Photos/RM3X6MM-2701.jpg"/>
    <x v="3"/>
    <x v="1"/>
    <s v="-M3 pitch 0.50- 5mm: 5mm, $0.09"/>
    <x v="0"/>
    <s v="M3 pitch 0.50- 5mm 5mm"/>
    <s v="12 HARDWARE"/>
    <x v="1"/>
    <x v="0"/>
    <x v="3"/>
    <n v="12"/>
    <x v="0"/>
    <x v="0"/>
  </r>
  <r>
    <x v="12"/>
    <x v="8"/>
    <x v="4"/>
    <x v="11"/>
    <s v="https://media.digikey.com/Photos/APM%20Hexseal%20Photos/RM3X6MM-2701.jpg_x000a_https://media.digikey.com/Photos/APM%20Hexseal%20Photos/RM3X6MM-2701.jpg"/>
    <x v="4"/>
    <x v="0"/>
    <s v="Out of StockM3 pitch 0.50- 6mm: 6 mm, $0.12"/>
    <x v="0"/>
    <s v="M3 pitch 0.50- 6mm 6 mm"/>
    <s v="13 HARDWARE"/>
    <x v="2"/>
    <x v="0"/>
    <x v="3"/>
    <n v="13"/>
    <x v="0"/>
    <x v="0"/>
  </r>
  <r>
    <x v="13"/>
    <x v="9"/>
    <x v="3"/>
    <x v="12"/>
    <s v="https://media.digikey.com/Photos/APM%20Hexseal%20Photos/RM3X6MM-2701.jpg_x000a_https://media.digikey.com/Photos/APM%20Hexseal%20Photos/RM3X6MM-2701.jpg"/>
    <x v="3"/>
    <x v="1"/>
    <s v="-M3 pitch 0.50- 8mm: 8 mm, $0.11"/>
    <x v="0"/>
    <s v="M3 pitch 0.50- 8mm 8 mm"/>
    <s v="14 HARDWARE"/>
    <x v="1"/>
    <x v="0"/>
    <x v="3"/>
    <n v="14"/>
    <x v="0"/>
    <x v="0"/>
  </r>
  <r>
    <x v="14"/>
    <x v="7"/>
    <x v="3"/>
    <x v="13"/>
    <s v="https://media.digikey.com/Photos/APM%20Hexseal%20Photos/RM3X6MM-2701.jpg_x000a_https://media.digikey.com/Photos/APM%20Hexseal%20Photos/RM3X6MM-2701.jpg"/>
    <x v="3"/>
    <x v="1"/>
    <s v="-M3 pitch 0.50- 10mm: 10 mm, $0.09"/>
    <x v="0"/>
    <s v="M3 pitch 0.50- 10mm 10 mm"/>
    <s v="15 HARDWARE"/>
    <x v="1"/>
    <x v="0"/>
    <x v="3"/>
    <n v="15"/>
    <x v="0"/>
    <x v="0"/>
  </r>
  <r>
    <x v="15"/>
    <x v="9"/>
    <x v="3"/>
    <x v="14"/>
    <s v="https://media.digikey.com/Photos/APM%20Hexseal%20Photos/RM3X6MM-2701.jpg_x000a_https://media.digikey.com/Photos/APM%20Hexseal%20Photos/RM3X6MM-2701.jpg"/>
    <x v="3"/>
    <x v="1"/>
    <s v="-M3 pitch 0.50- 12mm: 12 mm, $0.11"/>
    <x v="0"/>
    <s v="M3 pitch 0.50- 12mm 12 mm"/>
    <s v="16 HARDWARE"/>
    <x v="1"/>
    <x v="0"/>
    <x v="3"/>
    <n v="16"/>
    <x v="0"/>
    <x v="0"/>
  </r>
  <r>
    <x v="16"/>
    <x v="9"/>
    <x v="3"/>
    <x v="15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1"/>
    <s v="-M3 pitch 0.50- 20mm: 20 mm, $0.11"/>
    <x v="0"/>
    <s v="M3 pitch 0.50- 20mm 20 mm"/>
    <s v="17 HARDWARE"/>
    <x v="1"/>
    <x v="0"/>
    <x v="3"/>
    <n v="17"/>
    <x v="0"/>
    <x v="0"/>
  </r>
  <r>
    <x v="17"/>
    <x v="8"/>
    <x v="3"/>
    <x v="16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3"/>
    <x v="1"/>
    <s v="-M3 pitch 0.50- 25mm: 25 mm, $0.12"/>
    <x v="0"/>
    <s v="M3 pitch 0.50- 25mm 25 mm"/>
    <s v="18 HARDWARE"/>
    <x v="1"/>
    <x v="0"/>
    <x v="3"/>
    <n v="18"/>
    <x v="0"/>
    <x v="0"/>
  </r>
  <r>
    <x v="18"/>
    <x v="10"/>
    <x v="3"/>
    <x v="17"/>
    <s v="https://cdn11.bigcommerce.com/s-scmrv6kkrz/images/stencil/1280x1280/products/198176/172275/m3-54-x-16-mm-phillips-pan-head-head-machine-screw-8935016__90864.1568390591.jpg?c=2_x000a_https://cdn11.bigcommerce.com/s-scmrv6kkrz/images/stencil/1280x1280/products/198176/172275/m3-54-x-16-mm-phillips-pan-head-head-machine-screw-8935016__90864.1568390591.jpg?c=2"/>
    <x v="5"/>
    <x v="1"/>
    <s v="-M3 pitch 0.50- 35mm: 35 mm, $0.14"/>
    <x v="0"/>
    <s v="M3 pitch 0.50- 35mm 35 mm"/>
    <s v="19 HARDWARE"/>
    <x v="3"/>
    <x v="0"/>
    <x v="3"/>
    <n v="19"/>
    <x v="0"/>
    <x v="0"/>
  </r>
  <r>
    <x v="19"/>
    <x v="11"/>
    <x v="3"/>
    <x v="18"/>
    <s v="https://m.media-amazon.com/images/I/71bhu5s7T2L._SL1500_.jpg_x000a_https://m.media-amazon.com/images/I/71bhu5s7T2L._SL1500_.jpg"/>
    <x v="5"/>
    <x v="1"/>
    <s v="-M3 pitch 0.50- 40mm: 40 mm, $0.25"/>
    <x v="0"/>
    <s v="M3 pitch 0.50- 40mm 40 mm"/>
    <s v="20 HARDWARE"/>
    <x v="3"/>
    <x v="0"/>
    <x v="3"/>
    <n v="20"/>
    <x v="0"/>
    <x v="0"/>
  </r>
  <r>
    <x v="20"/>
    <x v="12"/>
    <x v="3"/>
    <x v="17"/>
    <s v="https://m.media-amazon.com/images/I/71bhu5s7T2L._SL1500_.jpg_x000a_https://m.media-amazon.com/images/I/71bhu5s7T2L._SL1500_.jpg"/>
    <x v="0"/>
    <x v="1"/>
    <s v="-M4 pitch 0.70- 35mm: 35 mm, $0.31"/>
    <x v="0"/>
    <s v="M4 pitch 0.70- 35mm 35 mm"/>
    <s v="21 HARDWARE"/>
    <x v="4"/>
    <x v="0"/>
    <x v="3"/>
    <n v="21"/>
    <x v="0"/>
    <x v="0"/>
  </r>
  <r>
    <x v="21"/>
    <x v="13"/>
    <x v="3"/>
    <x v="17"/>
    <s v="https://m.media-amazon.com/images/I/71bhu5s7T2L._SL1500_.jpg_x000a_https://m.media-amazon.com/images/I/71bhu5s7T2L._SL1500_.jpg"/>
    <x v="0"/>
    <x v="1"/>
    <s v="-M5 pitch 0.80- 35mm: 35 mm, $0.35"/>
    <x v="0"/>
    <s v="M5 pitch 0.80- 35mm 35 mm"/>
    <s v="22 HARDWARE"/>
    <x v="4"/>
    <x v="0"/>
    <x v="3"/>
    <n v="22"/>
    <x v="0"/>
    <x v="0"/>
  </r>
  <r>
    <x v="22"/>
    <x v="14"/>
    <x v="3"/>
    <x v="7"/>
    <s v="https://www.pcboard.ca/image/cache/catalog/products/fasteners/Stainless-Steel-Hex-Nut-800x800.jpg_x000a_https://www.pcboard.ca/image/cache/catalog/products/fasteners/Stainless-Steel-Hex-Nut-800x800.jpg"/>
    <x v="6"/>
    <x v="1"/>
    <s v="-Hex nut M3 pitch 0.5: , $0.08"/>
    <x v="0"/>
    <s v="Hex nut M3 pitch 0.5 "/>
    <s v="23 HARDWARE"/>
    <x v="5"/>
    <x v="2"/>
    <x v="4"/>
    <n v="23"/>
    <x v="0"/>
    <x v="0"/>
  </r>
  <r>
    <x v="23"/>
    <x v="7"/>
    <x v="3"/>
    <x v="7"/>
    <s v="https://www.pcboard.ca/image/cache/catalog/products/fasteners/Stainless-Steel-Hex-Nut-800x800.jpg_x000a_https://www.pcboard.ca/image/cache/catalog/products/fasteners/Stainless-Steel-Hex-Nut-800x800.jpg"/>
    <x v="0"/>
    <x v="1"/>
    <s v="-Hex nut M5 pitch 0.80: , $0.09"/>
    <x v="0"/>
    <s v="Hex nut M5 pitch 0.80 "/>
    <s v="24 HARDWARE"/>
    <x v="4"/>
    <x v="0"/>
    <x v="4"/>
    <n v="24"/>
    <x v="0"/>
    <x v="0"/>
  </r>
  <r>
    <x v="24"/>
    <x v="15"/>
    <x v="3"/>
    <x v="7"/>
    <s v="https://www.pcboard.ca/image/cache/catalog/products/fasteners/Stainless-Steel-Hex-Nut-800x800.jpg_x000a_https://www.pcboard.ca/image/cache/catalog/products/fasteners/Stainless-Steel-Hex-Nut-800x800.jpg"/>
    <x v="0"/>
    <x v="1"/>
    <s v="-Hex nut M4 pitch 0.70: , $0.19"/>
    <x v="0"/>
    <s v="Hex nut M4 pitch 0.70 "/>
    <s v="25 HARDWARE"/>
    <x v="4"/>
    <x v="0"/>
    <x v="4"/>
    <n v="25"/>
    <x v="0"/>
    <x v="0"/>
  </r>
  <r>
    <x v="25"/>
    <x v="16"/>
    <x v="2"/>
    <x v="19"/>
    <s v="https://www.sherline.com/wp-content/uploads/2018/02/43190.png_x000a_https://www.sherline.com/wp-content/uploads/2018/02/43190.png"/>
    <x v="2"/>
    <x v="1"/>
    <s v="-6 x 1/2&quot; Flat Head: 1/2&quot;, $0.02"/>
    <x v="0"/>
    <s v="6 x 1/2&quot; Flat Head 1/2&quot;"/>
    <s v="27 HARDWARE"/>
    <x v="0"/>
    <x v="3"/>
    <x v="5"/>
    <n v="27"/>
    <x v="0"/>
    <x v="0"/>
  </r>
  <r>
    <x v="26"/>
    <x v="17"/>
    <x v="2"/>
    <x v="20"/>
    <s v="https://www.sherline.com/wp-content/uploads/2018/02/43190.png_x000a_https://www.sherline.com/wp-content/uploads/2018/02/43190.png"/>
    <x v="2"/>
    <x v="1"/>
    <s v="-6 x 1/2&quot; Round Head : WS-120, $0.07"/>
    <x v="0"/>
    <s v="6 x 1/2&quot; Round Head  WS-120"/>
    <s v="28 HARDWARE"/>
    <x v="0"/>
    <x v="3"/>
    <x v="5"/>
    <n v="28"/>
    <x v="0"/>
    <x v="0"/>
  </r>
  <r>
    <x v="27"/>
    <x v="18"/>
    <x v="2"/>
    <x v="21"/>
    <s v="https://www.sherline.com/wp-content/uploads/2018/02/43190.png_x000a_https://www.sherline.com/wp-content/uploads/2018/02/43190.png"/>
    <x v="3"/>
    <x v="1"/>
    <s v="-6 x 1&quot; Flat Head: 593-K02-1Y, $0.06"/>
    <x v="0"/>
    <s v="6 x 1&quot; Flat Head 593-K02-1Y"/>
    <s v="29 HARDWARE"/>
    <x v="0"/>
    <x v="3"/>
    <x v="5"/>
    <n v="29"/>
    <x v="0"/>
    <x v="0"/>
  </r>
  <r>
    <x v="28"/>
    <x v="17"/>
    <x v="2"/>
    <x v="22"/>
    <s v="https://www.sherline.com/wp-content/uploads/2018/02/43190.png_x000a_https://www.sherline.com/wp-content/uploads/2018/02/43190.png"/>
    <x v="3"/>
    <x v="1"/>
    <s v="-6 x 1 1/2&quot; Flat Head: 593-005, $0.07"/>
    <x v="0"/>
    <s v="6 x 1 1/2&quot; Flat Head 593-005"/>
    <s v="30 HARDWARE"/>
    <x v="0"/>
    <x v="3"/>
    <x v="5"/>
    <n v="30"/>
    <x v="0"/>
    <x v="0"/>
  </r>
  <r>
    <x v="29"/>
    <x v="14"/>
    <x v="2"/>
    <x v="23"/>
    <s v="https://www.sherline.com/wp-content/uploads/2018/02/43190.png_x000a_https://www.sherline.com/wp-content/uploads/2018/02/43190.png"/>
    <x v="3"/>
    <x v="1"/>
    <s v="-6 x 2&quot; Flat Head: WS-94, $0.08"/>
    <x v="0"/>
    <s v="6 x 2&quot; Flat Head WS-94"/>
    <s v="31 HARDWARE"/>
    <x v="0"/>
    <x v="3"/>
    <x v="5"/>
    <n v="31"/>
    <x v="0"/>
    <x v="0"/>
  </r>
  <r>
    <x v="30"/>
    <x v="11"/>
    <x v="2"/>
    <x v="24"/>
    <s v="https://www.sherline.com/wp-content/uploads/2018/02/43190.png_x000a_https://www.sherline.com/wp-content/uploads/2018/02/43190.png"/>
    <x v="3"/>
    <x v="1"/>
    <s v="-8 x 1&quot; Flat Head: WS-20, $0.25"/>
    <x v="0"/>
    <s v="8 x 1&quot; Flat Head WS-20"/>
    <s v="32 HARDWARE"/>
    <x v="0"/>
    <x v="3"/>
    <x v="5"/>
    <n v="32"/>
    <x v="0"/>
    <x v="0"/>
  </r>
  <r>
    <x v="31"/>
    <x v="17"/>
    <x v="2"/>
    <x v="25"/>
    <s v="https://www.sherline.com/wp-content/uploads/2018/02/43190.png_x000a_https://www.sherline.com/wp-content/uploads/2018/02/43190.png"/>
    <x v="3"/>
    <x v="1"/>
    <s v="-8 x 1 1/2&quot; Flat Head: 593-KO5-1T, $0.07"/>
    <x v="0"/>
    <s v="8 x 1 1/2&quot; Flat Head 593-KO5-1T"/>
    <s v="33 HARDWARE"/>
    <x v="0"/>
    <x v="3"/>
    <x v="5"/>
    <n v="33"/>
    <x v="0"/>
    <x v="0"/>
  </r>
  <r>
    <x v="32"/>
    <x v="19"/>
    <x v="2"/>
    <x v="26"/>
    <s v="https://www.sherline.com/wp-content/uploads/2018/02/43190.png_x000a_https://www.sherline.com/wp-content/uploads/2018/02/43190.png"/>
    <x v="2"/>
    <x v="1"/>
    <s v="-8 x 4&quot; Flat Head: 4&quot;, $0.29"/>
    <x v="0"/>
    <s v="8 x 4&quot; Flat Head 4&quot;"/>
    <s v="34 HARDWARE"/>
    <x v="0"/>
    <x v="3"/>
    <x v="5"/>
    <n v="34"/>
    <x v="0"/>
    <x v="0"/>
  </r>
  <r>
    <x v="33"/>
    <x v="20"/>
    <x v="2"/>
    <x v="27"/>
    <s v="https://www.sherline.com/wp-content/uploads/2018/02/43190.png_x000a_https://www.sherline.com/wp-content/uploads/2018/02/43190.png"/>
    <x v="2"/>
    <x v="1"/>
    <s v="-12 x 3/4&quot; Flat Head: 3/4&quot;, $0.22"/>
    <x v="0"/>
    <s v="12 x 3/4&quot; Flat Head 3/4&quot;"/>
    <s v="35 HARDWARE"/>
    <x v="0"/>
    <x v="3"/>
    <x v="5"/>
    <n v="35"/>
    <x v="0"/>
    <x v="0"/>
  </r>
  <r>
    <x v="34"/>
    <x v="15"/>
    <x v="2"/>
    <x v="28"/>
    <s v="https://www.sherline.com/wp-content/uploads/2018/02/43190.png_x000a_https://www.sherline.com/wp-content/uploads/2018/02/43190.png"/>
    <x v="2"/>
    <x v="1"/>
    <s v="-12 x 1&quot; Flat Head: 1&quot;, $0.19"/>
    <x v="0"/>
    <s v="12 x 1&quot; Flat Head 1&quot;"/>
    <s v="36 HARDWARE"/>
    <x v="0"/>
    <x v="3"/>
    <x v="5"/>
    <n v="36"/>
    <x v="0"/>
    <x v="0"/>
  </r>
  <r>
    <x v="35"/>
    <x v="21"/>
    <x v="2"/>
    <x v="29"/>
    <s v="https://www.sherline.com/wp-content/uploads/2018/02/43190.png_x000a_https://www.sherline.com/wp-content/uploads/2018/02/43190.png"/>
    <x v="2"/>
    <x v="1"/>
    <s v="-12 x 1 1/2&quot; Flat Head: 1 1/2&quot;, $0.21"/>
    <x v="0"/>
    <s v="12 x 1 1/2&quot; Flat Head 1 1/2&quot;"/>
    <s v="37 HARDWARE"/>
    <x v="0"/>
    <x v="3"/>
    <x v="5"/>
    <n v="37"/>
    <x v="0"/>
    <x v="0"/>
  </r>
  <r>
    <x v="36"/>
    <x v="22"/>
    <x v="2"/>
    <x v="26"/>
    <s v="https://www.sherline.com/wp-content/uploads/2018/02/43190.png_x000a_https://www.sherline.com/wp-content/uploads/2018/02/43190.png"/>
    <x v="2"/>
    <x v="1"/>
    <s v="-12 x 4&quot; Flat Head: 4&quot;, $0.75"/>
    <x v="0"/>
    <s v="12 x 4&quot; Flat Head 4&quot;"/>
    <s v="38 HARDWARE"/>
    <x v="0"/>
    <x v="3"/>
    <x v="5"/>
    <n v="38"/>
    <x v="0"/>
    <x v="0"/>
  </r>
  <r>
    <x v="37"/>
    <x v="0"/>
    <x v="2"/>
    <x v="30"/>
    <s v="https://mcfaddens.com/images/product/medium/147671.jpg_x000a_https://mcfaddens.com/images/product/medium/147671.jpg"/>
    <x v="2"/>
    <x v="1"/>
    <s v="-6 x 3/4&quot; Flat Head: WS-56, $0.05"/>
    <x v="0"/>
    <s v="6 x 3/4&quot; Flat Head WS-56"/>
    <s v="39 HARDWARE"/>
    <x v="0"/>
    <x v="3"/>
    <x v="5"/>
    <n v="39"/>
    <x v="0"/>
    <x v="0"/>
  </r>
  <r>
    <x v="38"/>
    <x v="23"/>
    <x v="2"/>
    <x v="31"/>
    <s v="https://images.thdstatic.com/productImages/b2e7bdb6-6879-4a79-9e41-2e33f7e9906d/svn/everbilt-machine-screws-68608-64_600.jpg_x000a_https://images.thdstatic.com/productImages/b2e7bdb6-6879-4a79-9e41-2e33f7e9906d/svn/everbilt-machine-screws-68608-64_600.jpg"/>
    <x v="5"/>
    <x v="1"/>
    <s v="-6-32 x 1/4&quot; Round Head: 385 B12 1P, $0.04"/>
    <x v="0"/>
    <s v="6-32 x 1/4&quot; Round Head 385 B12 1P"/>
    <s v="40 HARDWARE"/>
    <x v="0"/>
    <x v="3"/>
    <x v="3"/>
    <n v="40"/>
    <x v="0"/>
    <x v="0"/>
  </r>
  <r>
    <x v="39"/>
    <x v="0"/>
    <x v="2"/>
    <x v="32"/>
    <s v="https://i.ebayimg.com/images/g/DkYAAOSw6fpbW34H/s-l300.jpg_x000a_https://i.ebayimg.com/images/g/DkYAAOSw6fpbW34H/s-l300.jpg"/>
    <x v="2"/>
    <x v="1"/>
    <s v="-6-32 x 1/2&quot; Round Head: 385 B70 1W, $0.05"/>
    <x v="0"/>
    <s v="6-32 x 1/2&quot; Round Head 385 B70 1W"/>
    <s v="41 HARDWARE"/>
    <x v="0"/>
    <x v="3"/>
    <x v="3"/>
    <n v="41"/>
    <x v="0"/>
    <x v="0"/>
  </r>
  <r>
    <x v="40"/>
    <x v="23"/>
    <x v="2"/>
    <x v="33"/>
    <s v="https://i.ebayimg.com/images/g/9VUAAOSwqj5bW34d/s-l300.jpg_x000a_https://i.ebayimg.com/images/g/9VUAAOSwqj5bW34d/s-l300.jpg"/>
    <x v="5"/>
    <x v="1"/>
    <s v="-6-32 x 3/4&quot; Round Head: 385-084, $0.04"/>
    <x v="0"/>
    <s v="6-32 x 3/4&quot; Round Head 385-084"/>
    <s v="42 HARDWARE"/>
    <x v="0"/>
    <x v="3"/>
    <x v="3"/>
    <n v="42"/>
    <x v="0"/>
    <x v="0"/>
  </r>
  <r>
    <x v="41"/>
    <x v="17"/>
    <x v="2"/>
    <x v="34"/>
    <s v="https://cdn11.bigcommerce.com/s-scmrv6kkrz/products/201910/images/174467/no-6-32-x-1-phillips-pan-head-a-point-machine-screw-18-8-stainless-steel-64c1__05661.1568390666.386.513.jpg?c=2_x000a_https://cdn11.bigcommerce.com/s-scmrv6kkrz/products/201910/images/174467/no-6-32-x-1-phillips-pan-head-a-point-machine-screw-18-8-stainless-steel-64c1__05661.1568390666.386.513.jpg?c=2"/>
    <x v="0"/>
    <x v="1"/>
    <s v="-6-32 x 1&quot; Round Head: 385-B25-1Y, $0.07"/>
    <x v="0"/>
    <s v="6-32 x 1&quot; Round Head 385-B25-1Y"/>
    <s v="43 HARDWARE"/>
    <x v="0"/>
    <x v="3"/>
    <x v="3"/>
    <n v="43"/>
    <x v="0"/>
    <x v="0"/>
  </r>
  <r>
    <x v="42"/>
    <x v="0"/>
    <x v="2"/>
    <x v="35"/>
    <s v="https://homedepot.scene7.com/is/image/homedepotcanada/p_1000181325.jpg?wid=1000&amp;hei=1000&amp;op_sharpen=1_x000a_https://homedepot.scene7.com/is/image/homedepotcanada/p_1000181325.jpg?wid=1000&amp;hei=1000&amp;op_sharpen=1"/>
    <x v="5"/>
    <x v="1"/>
    <s v="-8-32 x 1/2&quot; Round Head: 385-B07-1M, $0.05"/>
    <x v="0"/>
    <s v="8-32 x 1/2&quot; Round Head 385-B07-1M"/>
    <s v="44 HARDWARE"/>
    <x v="0"/>
    <x v="3"/>
    <x v="3"/>
    <n v="44"/>
    <x v="0"/>
    <x v="0"/>
  </r>
  <r>
    <x v="43"/>
    <x v="7"/>
    <x v="2"/>
    <x v="36"/>
    <s v="https://images.thdstatic.com/productImages/d3048261-ef1d-4708-9dfd-90876229c73c/svn/machine-screws-803031-64_300.jpg_x000a_https://images.thdstatic.com/productImages/d3048261-ef1d-4708-9dfd-90876229c73c/svn/machine-screws-803031-64_300.jpg"/>
    <x v="0"/>
    <x v="1"/>
    <s v="-8-32 x 3/4&quot; Round Head: 385-B56-1W, $0.09"/>
    <x v="0"/>
    <s v="8-32 x 3/4&quot; Round Head 385-B56-1W"/>
    <s v="45 HARDWARE"/>
    <x v="0"/>
    <x v="3"/>
    <x v="3"/>
    <n v="45"/>
    <x v="0"/>
    <x v="0"/>
  </r>
  <r>
    <x v="44"/>
    <x v="10"/>
    <x v="2"/>
    <x v="37"/>
    <s v="https://images.thdstatic.com/productImages/4fc08b20-5e50-49c6-a1c5-33fdd0bcc5de/svn/hillman-machine-screws-3302-64_600.jpg_x000a_https://images.thdstatic.com/productImages/4fc08b20-5e50-49c6-a1c5-33fdd0bcc5de/svn/hillman-machine-screws-3302-64_600.jpg"/>
    <x v="0"/>
    <x v="1"/>
    <s v="-8-32 x 1 1/4&quot; Round Head: 385-251, $0.14"/>
    <x v="0"/>
    <s v="8-32 x 1 1/4&quot; Round Head 385-251"/>
    <s v="46 HARDWARE"/>
    <x v="0"/>
    <x v="3"/>
    <x v="3"/>
    <n v="46"/>
    <x v="0"/>
    <x v="0"/>
  </r>
  <r>
    <x v="45"/>
    <x v="24"/>
    <x v="2"/>
    <x v="38"/>
    <s v="https://m.media-amazon.com/images/I/61xtzk1bxgL._SL1500_.jpg_x000a_https://m.media-amazon.com/images/I/61xtzk1bxgL._SL1500_.jpg"/>
    <x v="0"/>
    <x v="1"/>
    <s v="-8-32 x 1 1/2&quot; Round Head: 835-C39-1X, $0.16"/>
    <x v="0"/>
    <s v="8-32 x 1 1/2&quot; Round Head 835-C39-1X"/>
    <s v="47 HARDWARE"/>
    <x v="0"/>
    <x v="3"/>
    <x v="3"/>
    <n v="47"/>
    <x v="0"/>
    <x v="0"/>
  </r>
  <r>
    <x v="46"/>
    <x v="16"/>
    <x v="2"/>
    <x v="39"/>
    <s v="https://ae01.alicdn.com/kf/HTB1iLo4OVXXXXaiapXXq6xXFXXX3/100pcs-M3-washer-Stainless-Steel-Form-A-Flat-Washers-To-Fit-Metric-Bolt-Screws-Hardware.jpg_x000a_https://ae01.alicdn.com/kf/HTB1iLo4OVXXXXaiapXXq6xXFXXX3/100pcs-M3-washer-Stainless-Steel-Form-A-Flat-Washers-To-Fit-Metric-Bolt-Screws-Hardware.jpg"/>
    <x v="2"/>
    <x v="1"/>
    <s v="-M3 Washers: M3, $0.02"/>
    <x v="0"/>
    <s v="M3 Washers M3"/>
    <s v="48 HARDWARE"/>
    <x v="0"/>
    <x v="3"/>
    <x v="6"/>
    <n v="48"/>
    <x v="0"/>
    <x v="0"/>
  </r>
  <r>
    <x v="47"/>
    <x v="17"/>
    <x v="2"/>
    <x v="40"/>
    <s v="https://homedepot.scene7.com/is/image/homedepotcanada/p_1000181346.jpg?wid=1000&amp;hei=1000&amp;op_sharpen=1_x000a_https://homedepot.scene7.com/is/image/homedepotcanada/p_1000181346.jpg?wid=1000&amp;hei=1000&amp;op_sharpen=1"/>
    <x v="0"/>
    <x v="1"/>
    <s v="-10-32 x 1/2&quot; Round Head: 385-B02-1C, $0.07"/>
    <x v="0"/>
    <s v="10-32 x 1/2&quot; Round Head 385-B02-1C"/>
    <s v="49 HARDWARE"/>
    <x v="0"/>
    <x v="3"/>
    <x v="3"/>
    <n v="49"/>
    <x v="0"/>
    <x v="0"/>
  </r>
  <r>
    <x v="48"/>
    <x v="7"/>
    <x v="2"/>
    <x v="41"/>
    <s v="https://homedepot.scene7.com/is/image/homedepotcanada/p_1000181344.jpg?wid=1000&amp;hei=1000&amp;op_sharpen=1_x000a_https://homedepot.scene7.com/is/image/homedepotcanada/p_1000181344.jpg?wid=1000&amp;hei=1000&amp;op_sharpen=1"/>
    <x v="0"/>
    <x v="1"/>
    <s v="-10-32 x 3/4&quot; Round Head: 385-B14-1C, $0.09"/>
    <x v="0"/>
    <s v="10-32 x 3/4&quot; Round Head 385-B14-1C"/>
    <s v="50 HARDWARE"/>
    <x v="0"/>
    <x v="3"/>
    <x v="3"/>
    <n v="50"/>
    <x v="0"/>
    <x v="0"/>
  </r>
  <r>
    <x v="49"/>
    <x v="8"/>
    <x v="2"/>
    <x v="42"/>
    <s v="https://homedepot.scene7.com/is/image/homedepotcanada/p_1000181346.jpg?wid=1000&amp;hei=1000&amp;op_sharpen=1_x000a_https://homedepot.scene7.com/is/image/homedepotcanada/p_1000181346.jpg?wid=1000&amp;hei=1000&amp;op_sharpen=1"/>
    <x v="0"/>
    <x v="1"/>
    <s v="-10-32 x 1&quot; Round Head: 385-B33-2M, $0.12"/>
    <x v="0"/>
    <s v="10-32 x 1&quot; Round Head 385-B33-2M"/>
    <s v="51 HARDWARE"/>
    <x v="0"/>
    <x v="3"/>
    <x v="3"/>
    <n v="51"/>
    <x v="0"/>
    <x v="0"/>
  </r>
  <r>
    <x v="50"/>
    <x v="24"/>
    <x v="2"/>
    <x v="43"/>
    <s v="https://homedepot.scene7.com/is/image/homedepotcanada/p_1000181346.jpg?wid=1000&amp;hei=1000&amp;op_sharpen=1_x000a_https://homedepot.scene7.com/is/image/homedepotcanada/p_1000181346.jpg?wid=1000&amp;hei=1000&amp;op_sharpen=1"/>
    <x v="0"/>
    <x v="1"/>
    <s v="-10-32 x 1 1/4&quot; Round Head: 385-116, $0.16"/>
    <x v="0"/>
    <s v="10-32 x 1 1/4&quot; Round Head 385-116"/>
    <s v="52 HARDWARE"/>
    <x v="0"/>
    <x v="3"/>
    <x v="3"/>
    <n v="52"/>
    <x v="0"/>
    <x v="0"/>
  </r>
  <r>
    <x v="51"/>
    <x v="25"/>
    <x v="2"/>
    <x v="7"/>
    <s v="https://www.conklinmetal.com/wp-content/uploads/2019/11/Perforated-Galvanized-Strap-e1616437463456.png_x000a_https://www.conklinmetal.com/wp-content/uploads/2019/11/Perforated-Galvanized-Strap-e1616437463456.png"/>
    <x v="2"/>
    <x v="0"/>
    <s v="Out of StockPerforated Hanger Strap: , $1.48"/>
    <x v="0"/>
    <s v="Perforated Hanger Strap "/>
    <s v="53 HARDWARE"/>
    <x v="0"/>
    <x v="3"/>
    <x v="1"/>
    <n v="53"/>
    <x v="0"/>
    <x v="0"/>
  </r>
  <r>
    <x v="52"/>
    <x v="0"/>
    <x v="2"/>
    <x v="44"/>
    <s v="https://pim.wurth.ca/Product/34014.jpg_x000a_https://pim.wurth.ca/Product/34014.jpg"/>
    <x v="5"/>
    <x v="1"/>
    <s v="-Hex Nut 6-32: B-1521, $0.05"/>
    <x v="0"/>
    <s v="Hex Nut 6-32 B-1521"/>
    <s v="54 HARDWARE"/>
    <x v="0"/>
    <x v="3"/>
    <x v="4"/>
    <n v="54"/>
    <x v="0"/>
    <x v="0"/>
  </r>
  <r>
    <x v="53"/>
    <x v="26"/>
    <x v="2"/>
    <x v="45"/>
    <s v="https://cdn11.bigcommerce.com/s-scmrv6kkrz/images/stencil/1280x1280/products/200916/174916/no-1-hex-nut-stainless-steel-50ef__91660.1568390679.jpg?c=2_x000a_https://cdn11.bigcommerce.com/s-scmrv6kkrz/images/stencil/1280x1280/products/200916/174916/no-1-hex-nut-stainless-steel-50ef__91660.1568390679.jpg?c=2"/>
    <x v="2"/>
    <x v="1"/>
    <s v="-10-32 Hex Nut : HN-69, $0.1"/>
    <x v="0"/>
    <s v="10-32 Hex Nut  HN-69"/>
    <s v="55 HARDWARE"/>
    <x v="0"/>
    <x v="3"/>
    <x v="4"/>
    <n v="55"/>
    <x v="0"/>
    <x v="0"/>
  </r>
  <r>
    <x v="54"/>
    <x v="27"/>
    <x v="2"/>
    <x v="27"/>
    <s v="https://m.media-amazon.com/images/I/71zzBVtnSPL._SX342_.jpg_x000a_https://m.media-amazon.com/images/I/71zzBVtnSPL._SX342_.jpg"/>
    <x v="2"/>
    <x v="1"/>
    <s v="-1/4-20 x 3/4&quot; Hex Bolt : 3/4&quot;, $0.17"/>
    <x v="0"/>
    <s v="1/4-20 x 3/4&quot; Hex Bolt  3/4&quot;"/>
    <s v="56 HARDWARE"/>
    <x v="0"/>
    <x v="3"/>
    <x v="7"/>
    <n v="56"/>
    <x v="0"/>
    <x v="0"/>
  </r>
  <r>
    <x v="55"/>
    <x v="28"/>
    <x v="2"/>
    <x v="46"/>
    <s v="http://cdn.shopify.com/s/files/1/1244/2390/products/hex-cap-screw_c3040ba3-bd08-4a51-bb3d-fafb6b9f51d1_grande.png?v=1557859384_x000a_http://cdn.shopify.com/s/files/1/1244/2390/products/hex-cap-screw_c3040ba3-bd08-4a51-bb3d-fafb6b9f51d1_grande.png?v=1557859384"/>
    <x v="2"/>
    <x v="1"/>
    <s v="-1/4-20 x 2&quot; Hex Bolt : 2&quot;, $0.46"/>
    <x v="0"/>
    <s v="1/4-20 x 2&quot; Hex Bolt  2&quot;"/>
    <s v="57 HARDWARE"/>
    <x v="0"/>
    <x v="3"/>
    <x v="7"/>
    <n v="57"/>
    <x v="0"/>
    <x v="0"/>
  </r>
  <r>
    <x v="56"/>
    <x v="29"/>
    <x v="2"/>
    <x v="46"/>
    <s v="https://cdn.shopify.com/s/files/1/0974/6070/products/Grade_2_Hex_Bolt_Plain_Steel_2e34c303-4583-4ed3-8e2b-b152fdb48cc5_2048x.jpeg?v=1481146271_x000a_https://cdn.shopify.com/s/files/1/0974/6070/products/Grade_2_Hex_Bolt_Plain_Steel_2e34c303-4583-4ed3-8e2b-b152fdb48cc5_2048x.jpeg?v=1481146271"/>
    <x v="2"/>
    <x v="1"/>
    <s v="-3/8-16 x 2&quot; Hex Bolt : 2&quot;, $0.93"/>
    <x v="0"/>
    <s v="3/8-16 x 2&quot; Hex Bolt  2&quot;"/>
    <s v="58 HARDWARE"/>
    <x v="0"/>
    <x v="3"/>
    <x v="7"/>
    <n v="58"/>
    <x v="0"/>
    <x v="0"/>
  </r>
  <r>
    <x v="57"/>
    <x v="30"/>
    <x v="2"/>
    <x v="47"/>
    <s v="https://cdn.shopify.com/s/files/1/0974/6070/products/Grade_2_Hex_Bolt_Plain_Steel_ec911976-fe7a-478a-816b-7213c3d7cd21_2048x.jpeg?v=1481146284_x000a_https://cdn.shopify.com/s/files/1/0974/6070/products/Grade_2_Hex_Bolt_Plain_Steel_ec911976-fe7a-478a-816b-7213c3d7cd21_2048x.jpeg?v=1481146284"/>
    <x v="2"/>
    <x v="1"/>
    <s v="-3/8-16 x 3&quot; Hex Bolt : 3&quot;, $1.38"/>
    <x v="0"/>
    <s v="3/8-16 x 3&quot; Hex Bolt  3&quot;"/>
    <s v="59 HARDWARE"/>
    <x v="0"/>
    <x v="3"/>
    <x v="7"/>
    <n v="59"/>
    <x v="0"/>
    <x v="0"/>
  </r>
  <r>
    <x v="58"/>
    <x v="31"/>
    <x v="2"/>
    <x v="26"/>
    <s v="https://m.media-amazon.com/images/I/51YZZMBNP+L._SL1000_.jpg_x000a_https://m.media-amazon.com/images/I/51YZZMBNP+L._SL1000_.jpg"/>
    <x v="2"/>
    <x v="1"/>
    <s v="-3/8-16 x 4&quot; Hex Bolt : 4&quot;, $2.06"/>
    <x v="0"/>
    <s v="3/8-16 x 4&quot; Hex Bolt  4&quot;"/>
    <s v="60 HARDWARE"/>
    <x v="0"/>
    <x v="3"/>
    <x v="7"/>
    <n v="60"/>
    <x v="0"/>
    <x v="0"/>
  </r>
  <r>
    <x v="59"/>
    <x v="32"/>
    <x v="2"/>
    <x v="48"/>
    <s v="https://cdn11.bigcommerce.com/s-1lji4r5cj2/images/stencil/1280x1280/products/737/1741/3-8-16-x-5-Inch-Stainless-Steel-Hex-Bolt__S_1__71967.1602273565.jpg?c=1_x000a_https://cdn11.bigcommerce.com/s-1lji4r5cj2/images/stencil/1280x1280/products/737/1741/3-8-16-x-5-Inch-Stainless-Steel-Hex-Bolt__S_1__71967.1602273565.jpg?c=1"/>
    <x v="2"/>
    <x v="1"/>
    <s v="-3/8-16 x 5&quot; Hex Bolt : 5&quot;, $3.03"/>
    <x v="0"/>
    <s v="3/8-16 x 5&quot; Hex Bolt  5&quot;"/>
    <s v="61 HARDWARE"/>
    <x v="0"/>
    <x v="3"/>
    <x v="7"/>
    <n v="61"/>
    <x v="0"/>
    <x v="0"/>
  </r>
  <r>
    <x v="60"/>
    <x v="17"/>
    <x v="2"/>
    <x v="49"/>
    <s v="https://cdn11.bigcommerce.com/s-hlsk6yq0/images/stencil/1280x1280/products/281983/1247383/item-phil-round-ms-zp__54435.1539220347.jpg?c=2_x000a_https://cdn11.bigcommerce.com/s-hlsk6yq0/images/stencil/1280x1280/products/281983/1247383/item-phil-round-ms-zp__54435.1539220347.jpg?c=2"/>
    <x v="5"/>
    <x v="1"/>
    <s v="-10-24 x 1/2&quot; Round Head: 385-B26-1C, $0.07"/>
    <x v="0"/>
    <s v="10-24 x 1/2&quot; Round Head 385-B26-1C"/>
    <s v="62 HARDWARE"/>
    <x v="0"/>
    <x v="3"/>
    <x v="3"/>
    <n v="62"/>
    <x v="0"/>
    <x v="0"/>
  </r>
  <r>
    <x v="61"/>
    <x v="33"/>
    <x v="2"/>
    <x v="50"/>
    <s v="https://images.thdstatic.com/productImages/40897193-9ec9-423c-968e-5d0b8e8e6101/svn/prime-line-socket-head-cap-screws-9169344-64_600.jpg_x000a_https://images.thdstatic.com/productImages/40897193-9ec9-423c-968e-5d0b8e8e6101/svn/prime-line-socket-head-cap-screws-9169344-64_600.jpg"/>
    <x v="2"/>
    <x v="1"/>
    <s v="-10-24 x 1 1/4&quot; Round Head: 1 1/4&quot;, $0.33"/>
    <x v="0"/>
    <s v="10-24 x 1 1/4&quot; Round Head 1 1/4&quot;"/>
    <s v="63 HARDWARE"/>
    <x v="0"/>
    <x v="3"/>
    <x v="3"/>
    <n v="63"/>
    <x v="0"/>
    <x v="0"/>
  </r>
  <r>
    <x v="62"/>
    <x v="24"/>
    <x v="2"/>
    <x v="51"/>
    <s v="https://i.ebayimg.com/images/g/LUMAAOSwy~BaE3rP/s-l400.jpg_x000a_https://i.ebayimg.com/images/g/LUMAAOSwy~BaE3rP/s-l400.jpg"/>
    <x v="0"/>
    <x v="1"/>
    <s v="-1/4-20 x 1/2&quot; Round Head: 385-210, $0.16"/>
    <x v="0"/>
    <s v="1/4-20 x 1/2&quot; Round Head 385-210"/>
    <s v="64 HARDWARE"/>
    <x v="0"/>
    <x v="3"/>
    <x v="3"/>
    <n v="64"/>
    <x v="0"/>
    <x v="0"/>
  </r>
  <r>
    <x v="63"/>
    <x v="24"/>
    <x v="2"/>
    <x v="52"/>
    <s v="https://m.media-amazon.com/images/I/31bjpWBv4ML._AC_SX355_.jpg_x000a_https://m.media-amazon.com/images/I/31bjpWBv4ML._AC_SX355_.jpg"/>
    <x v="0"/>
    <x v="1"/>
    <s v="-1/4-20 x 3/4&quot; Round Head: 385-C28-1A, $0.16"/>
    <x v="0"/>
    <s v="1/4-20 x 3/4&quot; Round Head 385-C28-1A"/>
    <s v="65 HARDWARE"/>
    <x v="0"/>
    <x v="3"/>
    <x v="3"/>
    <n v="65"/>
    <x v="0"/>
    <x v="0"/>
  </r>
  <r>
    <x v="64"/>
    <x v="24"/>
    <x v="2"/>
    <x v="53"/>
    <s v="https://i.ebayimg.com/images/g/0AUAAOSw51xbW4Bh/s-l400.jpg_x000a_https://i.ebayimg.com/images/g/0AUAAOSw51xbW4Bh/s-l400.jpg"/>
    <x v="0"/>
    <x v="1"/>
    <s v="-1/4-20 x 1&quot; Round Head: 385-209, $0.16"/>
    <x v="0"/>
    <s v="1/4-20 x 1&quot; Round Head 385-209"/>
    <s v="66 HARDWARE"/>
    <x v="0"/>
    <x v="3"/>
    <x v="3"/>
    <n v="66"/>
    <x v="0"/>
    <x v="0"/>
  </r>
  <r>
    <x v="65"/>
    <x v="21"/>
    <x v="2"/>
    <x v="54"/>
    <s v="https://m.media-amazon.com/images/I/31cusPrx-qL._AC_.jpg_x000a_https://m.media-amazon.com/images/I/31cusPrx-qL._AC_.jpg"/>
    <x v="0"/>
    <x v="1"/>
    <s v="-1/4-20 x 1 1/2&quot; Round Head: 385-B38-1C, $0.21"/>
    <x v="0"/>
    <s v="1/4-20 x 1 1/2&quot; Round Head 385-B38-1C"/>
    <s v="67 HARDWARE"/>
    <x v="0"/>
    <x v="3"/>
    <x v="3"/>
    <n v="67"/>
    <x v="0"/>
    <x v="0"/>
  </r>
  <r>
    <x v="66"/>
    <x v="34"/>
    <x v="2"/>
    <x v="47"/>
    <s v="https://img3.fastenal.com/infp360pmm/derivates/3/001/877/28902.jpg_x000a_https://img3.fastenal.com/infp360pmm/derivates/3/001/877/28902.jpg"/>
    <x v="2"/>
    <x v="1"/>
    <s v="-1/4-20 x 3&quot; Round Head: 3&quot;, $1.9"/>
    <x v="0"/>
    <s v="1/4-20 x 3&quot; Round Head 3&quot;"/>
    <s v="68 HARDWARE"/>
    <x v="0"/>
    <x v="3"/>
    <x v="3"/>
    <n v="68"/>
    <x v="0"/>
    <x v="0"/>
  </r>
  <r>
    <x v="67"/>
    <x v="16"/>
    <x v="2"/>
    <x v="55"/>
    <s v="https://images.thdstatic.com/productImages/7098d4c6-8a50-4cd2-84ab-2956da19a4d7/svn/grip-rite-specialty-nails-10hgstpd1-64_1000.jpg_x000a_https://images.thdstatic.com/productImages/7098d4c6-8a50-4cd2-84ab-2956da19a4d7/svn/grip-rite-specialty-nails-10hgstpd1-64_1000.jpg"/>
    <x v="2"/>
    <x v="1"/>
    <s v="-Spiral Deck Nails: 2 1/2&quot;, $0.02"/>
    <x v="0"/>
    <s v="Spiral Deck Nails 2 1/2&quot;"/>
    <s v="69 HARDWARE"/>
    <x v="0"/>
    <x v="3"/>
    <x v="1"/>
    <n v="69"/>
    <x v="0"/>
    <x v="0"/>
  </r>
  <r>
    <x v="68"/>
    <x v="35"/>
    <x v="2"/>
    <x v="56"/>
    <s v="https://www.madduxlumber.com/sm/product/5370/375304.jpg_x000a_https://www.madduxlumber.com/sm/product/5370/375304.jpg"/>
    <x v="2"/>
    <x v="1"/>
    <s v="-3/16 x 2 1/4&quot; Tapper Screws: 2 1/4&quot;, $0.58"/>
    <x v="0"/>
    <s v="3/16 x 2 1/4&quot; Tapper Screws 2 1/4&quot;"/>
    <s v="70 HARDWARE"/>
    <x v="0"/>
    <x v="3"/>
    <x v="1"/>
    <n v="70"/>
    <x v="0"/>
    <x v="0"/>
  </r>
  <r>
    <x v="69"/>
    <x v="36"/>
    <x v="2"/>
    <x v="57"/>
    <s v="https://envisionoutdoorliving.com/wp-content/uploads/elementor/thumbs/evergrain-envision-composite-deck-screws-piled-v2-1-p3g13ps0c7rwb0cmks6el0i8nvrdtof0x48q4gveyy.png_x000a_https://envisionoutdoorliving.com/wp-content/uploads/elementor/thumbs/evergrain-envision-composite-deck-screws-piled-v2-1-p3g13ps0c7rwb0cmks6el0i8nvrdtof0x48q4gveyy.png"/>
    <x v="2"/>
    <x v="1"/>
    <s v="-1 3/4&quot; Deck Screw: 1 3/4&quot;, $"/>
    <x v="0"/>
    <s v="1 3/4&quot; Deck Screw 1 3/4&quot;"/>
    <s v="71 HARDWARE"/>
    <x v="0"/>
    <x v="3"/>
    <x v="1"/>
    <n v="71"/>
    <x v="0"/>
    <x v="0"/>
  </r>
  <r>
    <x v="70"/>
    <x v="37"/>
    <x v="2"/>
    <x v="28"/>
    <s v="https://img4.fastenal.com/infp360pmm/derivates/3/001/227/444/0148425.jpg_x000a_https://img4.fastenal.com/infp360pmm/derivates/3/001/227/444/0148425.jpg"/>
    <x v="2"/>
    <x v="1"/>
    <s v="-1&quot; Self Tapping Flat Head: 1&quot;, $0.15"/>
    <x v="0"/>
    <s v="1&quot; Self Tapping Flat Head 1&quot;"/>
    <s v="72 HARDWARE"/>
    <x v="0"/>
    <x v="3"/>
    <x v="1"/>
    <n v="72"/>
    <x v="0"/>
    <x v="0"/>
  </r>
  <r>
    <x v="71"/>
    <x v="38"/>
    <x v="2"/>
    <x v="28"/>
    <s v="https://mobileimages.lowes.com/productimages/472caaeb-7fb3-4017-81db-20c1be24df8c/05129329.jpg?size=pdhi_x000a_https://mobileimages.lowes.com/productimages/472caaeb-7fb3-4017-81db-20c1be24df8c/05129329.jpg?size=pdhi"/>
    <x v="2"/>
    <x v="1"/>
    <s v="-Roofing Nails: 1&quot;, $0.03"/>
    <x v="0"/>
    <s v="Roofing Nails 1&quot;"/>
    <s v="73 HARDWARE"/>
    <x v="0"/>
    <x v="3"/>
    <x v="1"/>
    <n v="73"/>
    <x v="0"/>
    <x v="0"/>
  </r>
  <r>
    <x v="72"/>
    <x v="17"/>
    <x v="2"/>
    <x v="58"/>
    <s v="https://www.alstapingtools.com/pub/media/catalog/product/cache/8790ca8e2660b73e6e2b1fdcdd9b3dd2/image/480f417/806827-10-24-hex-nut.jpg_x000a_https://www.alstapingtools.com/pub/media/catalog/product/cache/8790ca8e2660b73e6e2b1fdcdd9b3dd2/image/480f417/806827-10-24-hex-nut.jpg"/>
    <x v="2"/>
    <x v="1"/>
    <s v="-10-24 Hex Nut: 155-PO8-1T, $0.07"/>
    <x v="0"/>
    <s v="10-24 Hex Nut 155-PO8-1T"/>
    <s v="74 HARDWARE"/>
    <x v="0"/>
    <x v="3"/>
    <x v="4"/>
    <n v="74"/>
    <x v="0"/>
    <x v="0"/>
  </r>
  <r>
    <x v="73"/>
    <x v="0"/>
    <x v="2"/>
    <x v="59"/>
    <s v="https://m.media-amazon.com/images/I/71gD2939pLL._AC_SL1500_.jpg_x000a_https://m.media-amazon.com/images/I/71gD2939pLL._AC_SL1500_.jpg"/>
    <x v="5"/>
    <x v="1"/>
    <s v="-Hex Nut 1/4-20 : 155-P06-1C, $0.05"/>
    <x v="0"/>
    <s v="Hex Nut 1/4-20  155-P06-1C"/>
    <s v="75 HARDWARE"/>
    <x v="0"/>
    <x v="3"/>
    <x v="4"/>
    <n v="75"/>
    <x v="0"/>
    <x v="0"/>
  </r>
  <r>
    <x v="74"/>
    <x v="39"/>
    <x v="2"/>
    <x v="60"/>
    <s v="https://img2.fastenal.com/infp360pmm/derivates/3/001/233/487/36409.jpg_x000a_https://img2.fastenal.com/infp360pmm/derivates/3/001/233/487/36409.jpg"/>
    <x v="2"/>
    <x v="1"/>
    <s v="-3/8-16 Hex Nut: 3/8&quot;, $0.36"/>
    <x v="0"/>
    <s v="3/8-16 Hex Nut 3/8&quot;"/>
    <s v="76 HARDWARE"/>
    <x v="0"/>
    <x v="4"/>
    <x v="4"/>
    <n v="76"/>
    <x v="0"/>
    <x v="0"/>
  </r>
  <r>
    <x v="75"/>
    <x v="40"/>
    <x v="2"/>
    <x v="61"/>
    <s v="https://m.media-amazon.com/images/I/61IX854Zt9L._SL1500_.jpg_x000a_https://m.media-amazon.com/images/I/61IX854Zt9L._SL1500_.jpg"/>
    <x v="2"/>
    <x v="1"/>
    <s v="-1/4-20 Washer: 1/4&quot;, $0.24"/>
    <x v="0"/>
    <s v="1/4-20 Washer 1/4&quot;"/>
    <s v="77 HARDWARE"/>
    <x v="0"/>
    <x v="4"/>
    <x v="6"/>
    <n v="77"/>
    <x v="0"/>
    <x v="0"/>
  </r>
  <r>
    <x v="76"/>
    <x v="18"/>
    <x v="2"/>
    <x v="61"/>
    <s v="https://images.thdstatic.com/productImages/c601f9b0-8e0a-4827-8aaf-7787505e30ed/svn/lock-washers-261252-4f_600.jpg_x000a_https://images.thdstatic.com/productImages/c601f9b0-8e0a-4827-8aaf-7787505e30ed/svn/lock-washers-261252-4f_600.jpg"/>
    <x v="2"/>
    <x v="1"/>
    <s v="-1/4-20 Split Washer: 1/4&quot;, $0.06"/>
    <x v="0"/>
    <s v="1/4-20 Split Washer 1/4&quot;"/>
    <s v="78 HARDWARE"/>
    <x v="0"/>
    <x v="4"/>
    <x v="6"/>
    <n v="78"/>
    <x v="0"/>
    <x v="0"/>
  </r>
  <r>
    <x v="77"/>
    <x v="41"/>
    <x v="2"/>
    <x v="60"/>
    <s v="https://homedepot.scene7.com/is/image/homedepotcanada/p_1000144562.jpg?wid=1000&amp;hei=1000&amp;op_sharpen=1_x000a_https://homedepot.scene7.com/is/image/homedepotcanada/p_1000144562.jpg?wid=1000&amp;hei=1000&amp;op_sharpen=1"/>
    <x v="2"/>
    <x v="1"/>
    <s v="-3/8-16 Washer: 3/8&quot;, $0.13"/>
    <x v="0"/>
    <s v="3/8-16 Washer 3/8&quot;"/>
    <s v="79 HARDWARE"/>
    <x v="0"/>
    <x v="4"/>
    <x v="6"/>
    <n v="79"/>
    <x v="0"/>
    <x v="0"/>
  </r>
  <r>
    <x v="78"/>
    <x v="26"/>
    <x v="2"/>
    <x v="60"/>
    <s v="https://img0.fastenal.com/infp360pmm/derivates/3/001/304/585/33669.jpg_x000a_https://img0.fastenal.com/infp360pmm/derivates/3/001/304/585/33669.jpg"/>
    <x v="2"/>
    <x v="1"/>
    <s v="-3/8-16 Split Washer: 3/8&quot;, $0.1"/>
    <x v="0"/>
    <s v="3/8-16 Split Washer 3/8&quot;"/>
    <s v="80 HARDWARE"/>
    <x v="0"/>
    <x v="4"/>
    <x v="6"/>
    <n v="80"/>
    <x v="0"/>
    <x v="0"/>
  </r>
  <r>
    <x v="79"/>
    <x v="42"/>
    <x v="2"/>
    <x v="61"/>
    <s v="https://m.media-amazon.com/images/I/71LMU3GtCgL._AC_SX355_.jpg_x000a_https://m.media-amazon.com/images/I/71LMU3GtCgL._AC_SX355_.jpg"/>
    <x v="2"/>
    <x v="1"/>
    <s v="-1/4 Rivets: 1/4&quot;, $0.54"/>
    <x v="0"/>
    <s v="1/4 Rivets 1/4&quot;"/>
    <s v="81 HARDWARE"/>
    <x v="0"/>
    <x v="4"/>
    <x v="8"/>
    <n v="81"/>
    <x v="0"/>
    <x v="0"/>
  </r>
  <r>
    <x v="80"/>
    <x v="7"/>
    <x v="2"/>
    <x v="62"/>
    <s v="https://i.ebayimg.com/images/g/ZOoAAOSwFe5Xxtuk/s-l300.jpg_x000a_https://i.ebayimg.com/images/g/ZOoAAOSwFe5Xxtuk/s-l300.jpg"/>
    <x v="2"/>
    <x v="1"/>
    <s v="-3/32 Rivets: 3/32&quot;, $0.09"/>
    <x v="0"/>
    <s v="3/32 Rivets 3/32&quot;"/>
    <s v="82 HARDWARE"/>
    <x v="0"/>
    <x v="4"/>
    <x v="8"/>
    <n v="82"/>
    <x v="0"/>
    <x v="0"/>
  </r>
  <r>
    <x v="81"/>
    <x v="16"/>
    <x v="2"/>
    <x v="63"/>
    <s v="https://m.media-amazon.com/images/I/71LMU3GtCgL._SX425_.jpg_x000a_https://m.media-amazon.com/images/I/71LMU3GtCgL._SX425_.jpg"/>
    <x v="2"/>
    <x v="1"/>
    <s v="-1/8 Rivets: 1/8&quot;, $0.02"/>
    <x v="0"/>
    <s v="1/8 Rivets 1/8&quot;"/>
    <s v="83 HARDWARE"/>
    <x v="0"/>
    <x v="4"/>
    <x v="8"/>
    <n v="83"/>
    <x v="0"/>
    <x v="0"/>
  </r>
  <r>
    <x v="82"/>
    <x v="9"/>
    <x v="2"/>
    <x v="64"/>
    <s v="https://www.albanycountyfasteners.com/mm5/graphics/00000001/open-end-blind-pop-rivets-aluminum-1-resize-min.jpg_x000a_https://www.albanycountyfasteners.com/mm5/graphics/00000001/open-end-blind-pop-rivets-aluminum-1-resize-min.jpg"/>
    <x v="2"/>
    <x v="1"/>
    <s v="-5/32 Rivets: 5/32&quot;, $0.11"/>
    <x v="0"/>
    <s v="5/32 Rivets 5/32&quot;"/>
    <s v="84 HARDWARE"/>
    <x v="0"/>
    <x v="4"/>
    <x v="8"/>
    <n v="84"/>
    <x v="0"/>
    <x v="0"/>
  </r>
  <r>
    <x v="83"/>
    <x v="24"/>
    <x v="2"/>
    <x v="65"/>
    <s v="https://cdn.rona.ca/images/0012067_L.jpg_x000a_https://cdn.rona.ca/images/0012067_L.jpg"/>
    <x v="2"/>
    <x v="1"/>
    <s v="-3/16 Rivets: 3/16&quot;, $0.16"/>
    <x v="0"/>
    <s v="3/16 Rivets 3/16&quot;"/>
    <s v="85 HARDWARE"/>
    <x v="0"/>
    <x v="4"/>
    <x v="8"/>
    <n v="85"/>
    <x v="0"/>
    <x v="0"/>
  </r>
  <r>
    <x v="84"/>
    <x v="36"/>
    <x v="2"/>
    <x v="7"/>
    <s v="https://www.pcboard.ca/image/cache/catalog/products/fasteners/Pan-Head-Screws-800x800.jpg_x000a_https://www.pcboard.ca/image/cache/catalog/products/fasteners/Pan-Head-Screws-800x800.jpg"/>
    <x v="2"/>
    <x v="0"/>
    <s v="Out of StockM1.6: , $"/>
    <x v="0"/>
    <s v="M1.6 "/>
    <s v="86 HARDWARE"/>
    <x v="0"/>
    <x v="5"/>
    <x v="3"/>
    <n v="86"/>
    <x v="0"/>
    <x v="0"/>
  </r>
  <r>
    <x v="85"/>
    <x v="11"/>
    <x v="2"/>
    <x v="7"/>
    <s v="https://www.sherline.com/wp-content/uploads/2018/02/43190.png_x000a_https://www.sherline.com/wp-content/uploads/2018/02/43190.png"/>
    <x v="2"/>
    <x v="0"/>
    <s v="Out of StockM1.6 Hex Nut: , $0.25"/>
    <x v="0"/>
    <s v="M1.6 Hex Nut "/>
    <s v="87 HARDWARE"/>
    <x v="0"/>
    <x v="5"/>
    <x v="4"/>
    <n v="87"/>
    <x v="0"/>
    <x v="0"/>
  </r>
  <r>
    <x v="86"/>
    <x v="21"/>
    <x v="2"/>
    <x v="7"/>
    <s v="https://www.albanycountyfasteners.com/mm5/graphics/00000001/flat-socket-cap-screws-18-8-stainless-steel-1-resize-min_300x300.jpg_x000a_https://www.albanycountyfasteners.com/mm5/graphics/00000001/flat-socket-cap-screws-18-8-stainless-steel-1-resize-min_300x300.jpg"/>
    <x v="2"/>
    <x v="1"/>
    <s v="-M3 Flat Head Socket Head: , $0.21"/>
    <x v="0"/>
    <s v="M3 Flat Head Socket Head "/>
    <s v="88 HARDWARE"/>
    <x v="0"/>
    <x v="5"/>
    <x v="7"/>
    <n v="88"/>
    <x v="0"/>
    <x v="0"/>
  </r>
  <r>
    <x v="87"/>
    <x v="11"/>
    <x v="2"/>
    <x v="47"/>
    <s v="https://www.sherline.com/wp-content/uploads/2018/02/43190.png_x000a_https://www.sherline.com/wp-content/uploads/2018/02/43190.png"/>
    <x v="2"/>
    <x v="1"/>
    <s v="-8 x 3&quot; Flat Head: 3&quot;, $0.25"/>
    <x v="0"/>
    <s v="8 x 3&quot; Flat Head 3&quot;"/>
    <s v="89 HARDWARE"/>
    <x v="0"/>
    <x v="5"/>
    <x v="5"/>
    <n v="89"/>
    <x v="0"/>
    <x v="0"/>
  </r>
  <r>
    <x v="88"/>
    <x v="18"/>
    <x v="2"/>
    <x v="66"/>
    <s v="https://homedepot.scene7.com/is/image/homedepotcanada/p_1000128997.jpg?wid=1000&amp;hei=1000&amp;op_sharpen=1_x000a_https://homedepot.scene7.com/is/image/homedepotcanada/p_1000128997.jpg?wid=1000&amp;hei=1000&amp;op_sharpen=1"/>
    <x v="2"/>
    <x v="1"/>
    <s v="-8-32 Hex Nut: 8/32&quot; 155-P05-1Y, $0.06"/>
    <x v="0"/>
    <s v="8-32 Hex Nut 8/32&quot; 155-P05-1Y"/>
    <s v="91 HARDWARE"/>
    <x v="0"/>
    <x v="0"/>
    <x v="4"/>
    <n v="91"/>
    <x v="0"/>
    <x v="0"/>
  </r>
  <r>
    <x v="89"/>
    <x v="18"/>
    <x v="2"/>
    <x v="39"/>
    <s v="https://img4.fastenal.com/infp360pmm/derivates/3/001/137/094/11505674.jpg_x000a_https://img4.fastenal.com/infp360pmm/derivates/3/001/137/094/11505674.jpg"/>
    <x v="2"/>
    <x v="1"/>
    <s v="-M3 Locknut: M3, $0.06"/>
    <x v="0"/>
    <s v="M3 Locknut M3"/>
    <s v="92 HARDWARE"/>
    <x v="0"/>
    <x v="0"/>
    <x v="4"/>
    <n v="92"/>
    <x v="0"/>
    <x v="0"/>
  </r>
  <r>
    <x v="90"/>
    <x v="36"/>
    <x v="2"/>
    <x v="39"/>
    <s v="https://ae01.alicdn.com/kf/HTB1g_fJah9YBuNjy0Ffq6xIsVXac/100pcs-ISO7380-304-stainless-steel-m3-5-M3x5-hexagon-button-head-screws-Allen-socket-round-head.jpg_Q90.jpg_.webp_x000a_https://ae01.alicdn.com/kf/HTB1g_fJah9YBuNjy0Ffq6xIsVXac/100pcs-ISO7380-304-stainless-steel-m3-5-M3x5-hexagon-button-head-screws-Allen-socket-round-head.jpg_Q90.jpg_.webp"/>
    <x v="2"/>
    <x v="0"/>
    <s v="Out of StockM3*5 socket: M3, $"/>
    <x v="0"/>
    <s v="M3*5 socket M3"/>
    <s v="93 HARDWARE"/>
    <x v="0"/>
    <x v="0"/>
    <x v="9"/>
    <n v="93"/>
    <x v="0"/>
    <x v="0"/>
  </r>
  <r>
    <x v="91"/>
    <x v="16"/>
    <x v="5"/>
    <x v="7"/>
    <s v="https://sc04.alicdn.com/kf/H0d5f214df6694868b77e4acc978c962bZ.jpg_Q55.jpg_x000a_https://sc04.alicdn.com/kf/H0d5f214df6694868b77e4acc978c962bZ.jpg_Q55.jpg"/>
    <x v="5"/>
    <x v="1"/>
    <s v="-M3 split washer: , $0.02"/>
    <x v="0"/>
    <s v="M3 split washer "/>
    <s v="94 HARDWARE"/>
    <x v="3"/>
    <x v="6"/>
    <x v="6"/>
    <n v="94"/>
    <x v="0"/>
    <x v="0"/>
  </r>
  <r>
    <x v="92"/>
    <x v="43"/>
    <x v="2"/>
    <x v="7"/>
    <m/>
    <x v="7"/>
    <x v="1"/>
    <s v="-ESC204 Lab 1 kit: , $9.42"/>
    <x v="0"/>
    <s v="ESC204 Lab 1 kit "/>
    <m/>
    <x v="6"/>
    <x v="0"/>
    <x v="2"/>
    <n v="95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x v="0"/>
    <x v="0"/>
    <x v="0"/>
    <s v="https://i.ebayimg.com/images/g/kiAAAOSwr~lYsZH9/s-l300.jpg_x000a_"/>
    <s v="Birch Ply-Birch Ply 1/8&quot; x18&quot;x24&quot;. $2.61"/>
    <x v="0"/>
    <x v="0"/>
    <x v="0"/>
    <x v="0"/>
    <x v="0"/>
    <x v="0"/>
    <x v="0"/>
    <x v="0"/>
    <x v="0"/>
  </r>
  <r>
    <x v="1"/>
    <x v="1"/>
    <x v="1"/>
    <s v="https://images-na.ssl-images-amazon.com/images/I/71jCJuz-D7L._SX466_.jpg_x000a_"/>
    <s v="MDF* OUT OF STOCK -MDF 1/8&quot; x18&quot;x24&quot;. $1.85"/>
    <x v="0"/>
    <x v="0"/>
    <x v="0"/>
    <x v="0"/>
    <x v="0"/>
    <x v="0"/>
    <x v="0"/>
    <x v="0"/>
    <x v="0"/>
  </r>
  <r>
    <x v="2"/>
    <x v="2"/>
    <x v="2"/>
    <s v="https://www.plasticdepot.ca/uploads/1/2/6/3/126329102/s134353909877617773_p66_i1_w500.jpeg?width=1200_x000a_"/>
    <s v="Acrylic-Acrylic Black 1/8&quot; x18&quot;x24&quot;. $15.76"/>
    <x v="0"/>
    <x v="0"/>
    <x v="0"/>
    <x v="0"/>
    <x v="0"/>
    <x v="0"/>
    <x v="0"/>
    <x v="0"/>
    <x v="0"/>
  </r>
  <r>
    <x v="3"/>
    <x v="2"/>
    <x v="3"/>
    <s v="https://www.plasticdepot.ca/uploads/1/2/6/3/126329102/s134353909877617773_p66_i1_w500.jpeg?width=1200_x000a_"/>
    <s v="Acrylic-Acrylic Black 1/4&quot; x18&quot;x24&quot;. $31.52"/>
    <x v="0"/>
    <x v="0"/>
    <x v="0"/>
    <x v="0"/>
    <x v="0"/>
    <x v="0"/>
    <x v="0"/>
    <x v="0"/>
    <x v="0"/>
  </r>
  <r>
    <x v="4"/>
    <x v="2"/>
    <x v="2"/>
    <s v="https://images-na.ssl-images-amazon.com/images/I/51zgRwKEncL._AC_SL1120_.jpg_x000a_"/>
    <s v="Acrylic-Acrylic White 1/8&quot; x18&quot;x24&quot;. $15.76"/>
    <x v="0"/>
    <x v="0"/>
    <x v="0"/>
    <x v="0"/>
    <x v="0"/>
    <x v="0"/>
    <x v="0"/>
    <x v="0"/>
    <x v="0"/>
  </r>
  <r>
    <x v="5"/>
    <x v="2"/>
    <x v="3"/>
    <s v="https://images-na.ssl-images-amazon.com/images/I/51zgRwKEncL._AC_SL1120_.jpg_x000a_"/>
    <s v="Acrylic-Acrylic White 1/4&quot; x18&quot;x24&quot;. $31.52"/>
    <x v="0"/>
    <x v="0"/>
    <x v="0"/>
    <x v="0"/>
    <x v="0"/>
    <x v="0"/>
    <x v="0"/>
    <x v="0"/>
    <x v="0"/>
  </r>
  <r>
    <x v="6"/>
    <x v="2"/>
    <x v="4"/>
    <s v="https://encrypted-tbn0.gstatic.com/images?q=tbn:ANd9GcSYFvrDdgM4m0tS2HQeT1Af2tlIBb7u8wm1_oFmCBbS3jPAMWPD0A_x000a_"/>
    <s v="Acrylic-Acrylic Clear 1/16&quot; x18&quot;x24&quot;. $7.74"/>
    <x v="0"/>
    <x v="0"/>
    <x v="0"/>
    <x v="0"/>
    <x v="0"/>
    <x v="0"/>
    <x v="0"/>
    <x v="0"/>
    <x v="0"/>
  </r>
  <r>
    <x v="7"/>
    <x v="2"/>
    <x v="5"/>
    <s v="https://encrypted-tbn0.gstatic.com/images?q=tbn:ANd9GcSYFvrDdgM4m0tS2HQeT1Af2tlIBb7u8wm1_oFmCBbS3jPAMWPD0A_x000a_"/>
    <s v="Acrylic-Acrylic Clear 1/8&quot; x18&quot;x24&quot;. $14.18"/>
    <x v="0"/>
    <x v="0"/>
    <x v="0"/>
    <x v="0"/>
    <x v="0"/>
    <x v="0"/>
    <x v="0"/>
    <x v="0"/>
    <x v="0"/>
  </r>
  <r>
    <x v="8"/>
    <x v="2"/>
    <x v="6"/>
    <s v="https://encrypted-tbn0.gstatic.com/images?q=tbn:ANd9GcSYFvrDdgM4m0tS2HQeT1Af2tlIBb7u8wm1_oFmCBbS3jPAMWPD0A_x000a_"/>
    <s v="Acrylic-Acrylic Clear 1/4&quot; x18&quot;x24&quot;. $31.66"/>
    <x v="0"/>
    <x v="0"/>
    <x v="0"/>
    <x v="0"/>
    <x v="0"/>
    <x v="0"/>
    <x v="0"/>
    <x v="0"/>
    <x v="0"/>
  </r>
  <r>
    <x v="9"/>
    <x v="2"/>
    <x v="7"/>
    <s v="https://i.ebayimg.com/images/g/5R0AAOSw9IpX0R5x/s-l300.jpg_x000a_"/>
    <s v="Acrylic-Acrylic Frost 1/16&quot; x18&quot;x24&quot;. $12.89"/>
    <x v="0"/>
    <x v="0"/>
    <x v="0"/>
    <x v="0"/>
    <x v="0"/>
    <x v="0"/>
    <x v="0"/>
    <x v="0"/>
    <x v="0"/>
  </r>
  <r>
    <x v="10"/>
    <x v="2"/>
    <x v="2"/>
    <s v="https://i.ebayimg.com/images/g/5R0AAOSw9IpX0R5x/s-l300.jpg_x000a_"/>
    <s v="Acrylic-Acrylic Frost 1/8&quot; x18&quot;x24&quot;. $15.76"/>
    <x v="0"/>
    <x v="0"/>
    <x v="0"/>
    <x v="0"/>
    <x v="0"/>
    <x v="0"/>
    <x v="0"/>
    <x v="0"/>
    <x v="0"/>
  </r>
  <r>
    <x v="11"/>
    <x v="2"/>
    <x v="3"/>
    <s v="https://i.ebayimg.com/images/g/5R0AAOSw9IpX0R5x/s-l300.jpg_x000a_"/>
    <s v="Acrylic-Acrylic Frost 1/4&quot; x18&quot;x24&quot;. $31.52"/>
    <x v="0"/>
    <x v="0"/>
    <x v="0"/>
    <x v="0"/>
    <x v="0"/>
    <x v="0"/>
    <x v="0"/>
    <x v="0"/>
    <x v="0"/>
  </r>
  <r>
    <x v="12"/>
    <x v="0"/>
    <x v="8"/>
    <s v="https://i.ebayimg.com/images/g/kiAAAOSwr~lYsZH9/s-l300.jpg_x000a_"/>
    <s v="Birch Ply* LOW STOCK -Birch Ply 3/4&quot; x12&quot;x12&quot;. $3.05"/>
    <x v="1"/>
    <x v="0"/>
    <x v="0"/>
    <x v="0"/>
    <x v="0"/>
    <x v="0"/>
    <x v="1"/>
    <x v="0"/>
    <x v="0"/>
  </r>
  <r>
    <x v="13"/>
    <x v="0"/>
    <x v="9"/>
    <s v="https://i.ebayimg.com/images/g/kiAAAOSwr~lYsZH9/s-l300.jpg_x000a_"/>
    <s v="Birch Ply* LOW STOCK -Birch Ply 1/2&quot; x12&quot;x12&quot;. $1.97"/>
    <x v="1"/>
    <x v="0"/>
    <x v="0"/>
    <x v="0"/>
    <x v="0"/>
    <x v="0"/>
    <x v="1"/>
    <x v="0"/>
    <x v="0"/>
  </r>
  <r>
    <x v="14"/>
    <x v="3"/>
    <x v="10"/>
    <s v="https://pro.goodrichlumber.com/MainSite/Store1/_CachedContent/_ECommerce/StoreProductCategories/2.png_x000a_"/>
    <s v="Spruce-Spruce 2x4 x12&quot;. $0.54"/>
    <x v="2"/>
    <x v="0"/>
    <x v="0"/>
    <x v="0"/>
    <x v="0"/>
    <x v="0"/>
    <x v="1"/>
    <x v="0"/>
    <x v="0"/>
  </r>
  <r>
    <x v="15"/>
    <x v="4"/>
    <x v="11"/>
    <s v="https://filmandeventsolutions.ca/wp-content/uploads/2021/01/foam-core-white.jpg_x000a_"/>
    <s v="Foam-Foam core white 1/8&quot; x20&quot;x30&quot;. $7.54"/>
    <x v="3"/>
    <x v="0"/>
    <x v="0"/>
    <x v="0"/>
    <x v="0"/>
    <x v="0"/>
    <x v="1"/>
    <x v="0"/>
    <x v="0"/>
  </r>
  <r>
    <x v="16"/>
    <x v="4"/>
    <x v="12"/>
    <s v="https://static1.squarespace.com/static/53f9d90ee4b0572e560769f8/53fa315ce4b0727da1b81a20/544b701be4b04f9b3c5db596/1548250703980/?format=1000w_x000a_"/>
    <s v="Foam-XPS Blue 1/2&quot; x12&quot;x12&quot;. $0.87"/>
    <x v="1"/>
    <x v="0"/>
    <x v="0"/>
    <x v="0"/>
    <x v="0"/>
    <x v="0"/>
    <x v="1"/>
    <x v="0"/>
    <x v="0"/>
  </r>
  <r>
    <x v="17"/>
    <x v="5"/>
    <x v="13"/>
    <s v="https://rebul.com.au/wp-content/uploads/2014/06/honeycomb_board1-1024x480.jpg_x000a_"/>
    <s v="Cardboard-Honeycomb Board 1/2&quot; x18&quot;x24&quot;. $2.52"/>
    <x v="0"/>
    <x v="0"/>
    <x v="0"/>
    <x v="0"/>
    <x v="0"/>
    <x v="0"/>
    <x v="0"/>
    <x v="0"/>
    <x v="0"/>
  </r>
  <r>
    <x v="18"/>
    <x v="5"/>
    <x v="14"/>
    <s v="https://5.imimg.com/data5/PL/LP/MY-1061796/corrugated-cardboard-sheets-500x500.jpg_x000a_"/>
    <s v="Cardboard-Cardboard 5/32&quot; x18&quot;x24&quot;. $1.92"/>
    <x v="0"/>
    <x v="0"/>
    <x v="0"/>
    <x v="0"/>
    <x v="0"/>
    <x v="0"/>
    <x v="0"/>
    <x v="0"/>
    <x v="0"/>
  </r>
  <r>
    <x v="19"/>
    <x v="5"/>
    <x v="15"/>
    <s v="https://ae01.alicdn.com/kf/HTB1kIX5SFXXXXb2XpXXq6xXFXXXw/Blank-kraft-A3-paper-300gsm-250gsm-150gsm-DIY-a3-Paperboard-Cardboard-Card.jpg_640x640.jpg_x000a_"/>
    <s v="Cardboard-Paperboard 1/16&quot; x18&quot;x24&quot;. $2.28"/>
    <x v="0"/>
    <x v="0"/>
    <x v="0"/>
    <x v="0"/>
    <x v="0"/>
    <x v="0"/>
    <x v="0"/>
    <x v="0"/>
    <x v="0"/>
  </r>
  <r>
    <x v="20"/>
    <x v="5"/>
    <x v="16"/>
    <s v="https://ae01.alicdn.com/kf/HTB1kIX5SFXXXXb2XpXXq6xXFXXXw/Blank-kraft-A3-paper-300gsm-250gsm-150gsm-DIY-a3-Paperboard-Cardboard-Card.jpg_640x640.jpg_x000a_"/>
    <s v="Cardboard-Paperboard 1/32&quot; x18&quot;x24&quot;. $0.51"/>
    <x v="0"/>
    <x v="0"/>
    <x v="0"/>
    <x v="0"/>
    <x v="0"/>
    <x v="0"/>
    <x v="0"/>
    <x v="0"/>
    <x v="0"/>
  </r>
  <r>
    <x v="21"/>
    <x v="0"/>
    <x v="17"/>
    <s v="https://i.ebayimg.com/images/g/kiAAAOSwr~lYsZH9/s-l300.jpg_x000a_"/>
    <s v="Birch Ply-Birch ply 1/4&quot; x12&quot;x12&quot;. $1.22"/>
    <x v="1"/>
    <x v="0"/>
    <x v="0"/>
    <x v="0"/>
    <x v="0"/>
    <x v="0"/>
    <x v="1"/>
    <x v="0"/>
    <x v="0"/>
  </r>
  <r>
    <x v="22"/>
    <x v="1"/>
    <x v="18"/>
    <s v="https://images-na.ssl-images-amazon.com/images/I/71jCJuz-D7L._SX466_.jpg_x000a_"/>
    <s v="MDF-MDF 1/2&quot; x12&quot;x12&quot;. $1.04"/>
    <x v="1"/>
    <x v="0"/>
    <x v="0"/>
    <x v="0"/>
    <x v="0"/>
    <x v="0"/>
    <x v="1"/>
    <x v="0"/>
    <x v="0"/>
  </r>
  <r>
    <x v="23"/>
    <x v="0"/>
    <x v="19"/>
    <s v="https://i.ebayimg.com/images/g/kiAAAOSwr~lYsZH9/s-l300.jpg_x000a_"/>
    <s v="Birch Ply-Birch ply 1/32&quot; x18&quot;x24&quot;. $13.3"/>
    <x v="0"/>
    <x v="0"/>
    <x v="0"/>
    <x v="0"/>
    <x v="0"/>
    <x v="0"/>
    <x v="0"/>
    <x v="0"/>
    <x v="0"/>
  </r>
  <r>
    <x v="24"/>
    <x v="4"/>
    <x v="20"/>
    <s v="https://www.foambymail.com/Merchant2/graphics/00000001/polyethylene_540x404.jpg_x000a_"/>
    <s v="Foam-PE foam White 1/2&quot; x18&quot;x24&quot;. $3.23"/>
    <x v="0"/>
    <x v="0"/>
    <x v="0"/>
    <x v="0"/>
    <x v="0"/>
    <x v="0"/>
    <x v="0"/>
    <x v="0"/>
    <x v="0"/>
  </r>
  <r>
    <x v="25"/>
    <x v="5"/>
    <x v="21"/>
    <s v="https://5.imimg.com/data5/PL/LP/MY-1061796/corrugated-cardboard-sheets-500x500.jpg_x000a_"/>
    <s v="Cardboard-Cardboard Double Wall 1/4&quot; x24&quot;x48&quot;. $4.71"/>
    <x v="4"/>
    <x v="0"/>
    <x v="0"/>
    <x v="0"/>
    <x v="0"/>
    <x v="0"/>
    <x v="1"/>
    <x v="0"/>
    <x v="0"/>
  </r>
  <r>
    <x v="26"/>
    <x v="5"/>
    <x v="22"/>
    <s v="https://5.imimg.com/data5/PL/LP/MY-1061796/corrugated-cardboard-sheets-500x500.jpg_x000a_"/>
    <s v="Cardboard-Cardboard 3/16&quot; x30&quot;x40&quot;. $3.62"/>
    <x v="5"/>
    <x v="0"/>
    <x v="0"/>
    <x v="0"/>
    <x v="0"/>
    <x v="0"/>
    <x v="1"/>
    <x v="0"/>
    <x v="0"/>
  </r>
  <r>
    <x v="27"/>
    <x v="4"/>
    <x v="23"/>
    <s v="https://filmandeventsolutions.ca/wp-content/uploads/2021/01/foam-core-white.jpg_x000a_"/>
    <s v="Foam-Foam core white 3/16&quot; x18&quot;x24&quot;. $4.73"/>
    <x v="0"/>
    <x v="0"/>
    <x v="0"/>
    <x v="0"/>
    <x v="0"/>
    <x v="0"/>
    <x v="1"/>
    <x v="0"/>
    <x v="0"/>
  </r>
  <r>
    <x v="28"/>
    <x v="4"/>
    <x v="24"/>
    <s v="https://images-na.ssl-images-amazon.com/images/I/41FHF69F2IL._SX355_.jpg_x000a_"/>
    <s v="Foam-Foam core black 3/16&quot; x30&quot;x20&quot;. $3.52"/>
    <x v="6"/>
    <x v="0"/>
    <x v="0"/>
    <x v="0"/>
    <x v="0"/>
    <x v="0"/>
    <x v="1"/>
    <x v="0"/>
    <x v="0"/>
  </r>
  <r>
    <x v="29"/>
    <x v="1"/>
    <x v="25"/>
    <s v="https://images-na.ssl-images-amazon.com/images/I/71jCJuz-D7L._SX466_.jpg_x000a_"/>
    <s v="MDF* LOW STOCK -MDF 1/4&quot; x12&quot;x12&quot;. $0.64"/>
    <x v="1"/>
    <x v="0"/>
    <x v="0"/>
    <x v="0"/>
    <x v="0"/>
    <x v="0"/>
    <x v="1"/>
    <x v="0"/>
    <x v="0"/>
  </r>
  <r>
    <x v="30"/>
    <x v="3"/>
    <x v="10"/>
    <s v="https://pro.goodrichlumber.com/MainSite/Store1/_CachedContent/_ECommerce/StoreProductCategories/2.png_x000a_"/>
    <s v="Spruce-Spruce 2x2 x12&quot;. $0.54"/>
    <x v="2"/>
    <x v="0"/>
    <x v="0"/>
    <x v="0"/>
    <x v="0"/>
    <x v="0"/>
    <x v="1"/>
    <x v="0"/>
    <x v="0"/>
  </r>
  <r>
    <x v="31"/>
    <x v="6"/>
    <x v="26"/>
    <s v="https://www.pitsco.com/sharedimages/product/ExtraLarge/XL_BALSASHEETS.jpg_x000a_"/>
    <s v="Balsa sheet-Balsa sheet 1/32&quot;&quot; x6&quot;x12&quot;. $1.07"/>
    <x v="7"/>
    <x v="0"/>
    <x v="0"/>
    <x v="0"/>
    <x v="0"/>
    <x v="0"/>
    <x v="0"/>
    <x v="0"/>
    <x v="0"/>
  </r>
  <r>
    <x v="32"/>
    <x v="6"/>
    <x v="27"/>
    <s v="https://www.pitsco.com/sharedimages/product/ExtraLarge/XL_BALSASHEETS.jpg_x000a_"/>
    <s v="Balsa sheet-Balsa sheet 1/8&quot; x6&quot;x24&quot;. $1.29"/>
    <x v="8"/>
    <x v="0"/>
    <x v="0"/>
    <x v="0"/>
    <x v="0"/>
    <x v="0"/>
    <x v="0"/>
    <x v="0"/>
    <x v="0"/>
  </r>
  <r>
    <x v="31"/>
    <x v="6"/>
    <x v="28"/>
    <s v="https://www.pitsco.com/sharedimages/product/ExtraLarge/XL_BALSASHEETS.jpg_x000a_"/>
    <s v="Balsa sheet-Balsa sheet 1/32&quot;&quot; x3&quot;x12&quot;. $0.38"/>
    <x v="9"/>
    <x v="0"/>
    <x v="0"/>
    <x v="0"/>
    <x v="0"/>
    <x v="0"/>
    <x v="0"/>
    <x v="0"/>
    <x v="0"/>
  </r>
  <r>
    <x v="32"/>
    <x v="6"/>
    <x v="29"/>
    <s v="https://www.pitsco.com/sharedimages/product/ExtraLarge/XL_BALSASHEETS.jpg_x000a_"/>
    <s v="Balsa sheet-Balsa sheet 1/8&quot; x3&quot;x12&quot;. $0.56"/>
    <x v="9"/>
    <x v="0"/>
    <x v="0"/>
    <x v="0"/>
    <x v="0"/>
    <x v="0"/>
    <x v="1"/>
    <x v="0"/>
    <x v="0"/>
  </r>
  <r>
    <x v="33"/>
    <x v="7"/>
    <x v="30"/>
    <s v="https://encrypted-tbn0.gstatic.com/images?q=tbn:ANd9GcSQwmXiHvoupnrrXWFUvWksvnhdgmBxHLF0Tcv9EcVM49c8M9bNxQ_x000a_"/>
    <s v="Flex plywood-Flexible plywood 13/64&quot; x12&quot;x12&quot;. $1.26"/>
    <x v="1"/>
    <x v="0"/>
    <x v="0"/>
    <x v="0"/>
    <x v="0"/>
    <x v="0"/>
    <x v="1"/>
    <x v="0"/>
    <x v="0"/>
  </r>
  <r>
    <x v="34"/>
    <x v="7"/>
    <x v="31"/>
    <s v="https://encrypted-tbn0.gstatic.com/images?q=tbn:ANd9GcSQwmXiHvoupnrrXWFUvWksvnhdgmBxHLF0Tcv9EcVM49c8M9bNxQ_x000a_"/>
    <s v="Flex plywood-Flexible plywood 5/16&quot; x12&quot;x12&quot;. $1.63"/>
    <x v="1"/>
    <x v="0"/>
    <x v="0"/>
    <x v="0"/>
    <x v="0"/>
    <x v="0"/>
    <x v="1"/>
    <x v="0"/>
    <x v="0"/>
  </r>
  <r>
    <x v="35"/>
    <x v="8"/>
    <x v="32"/>
    <s v="https://cdn.shopify.com/s/files/1/2532/9964/products/block-balsa-12-x-3-x-3-1586168627237_large.jpg?v=1530130707_x000a_"/>
    <s v="Balsa Block-Balsa block 1&quot;x1&quot; x18&quot;. $1.81"/>
    <x v="10"/>
    <x v="0"/>
    <x v="0"/>
    <x v="0"/>
    <x v="0"/>
    <x v="0"/>
    <x v="1"/>
    <x v="0"/>
    <x v="0"/>
  </r>
  <r>
    <x v="36"/>
    <x v="8"/>
    <x v="33"/>
    <s v="https://cdn.shopify.com/s/files/1/2532/9964/products/block-balsa-12-x-3-x-3-1586168627237_large.jpg?v=1530130707_x000a_"/>
    <s v="Balsa Block-Balsa block 2&quot;x2&quot; x18&quot;. $5.29"/>
    <x v="10"/>
    <x v="0"/>
    <x v="0"/>
    <x v="0"/>
    <x v="0"/>
    <x v="0"/>
    <x v="1"/>
    <x v="0"/>
    <x v="0"/>
  </r>
  <r>
    <x v="37"/>
    <x v="8"/>
    <x v="34"/>
    <s v="https://cdn.shopify.com/s/files/1/2532/9964/products/block-balsa-12-x-3-x-3-1586168627237_large.jpg?v=1530130707_x000a_"/>
    <s v="Balsa Block-Balsa block 3&quot;x3&quot; x18&quot;. $11.91"/>
    <x v="10"/>
    <x v="0"/>
    <x v="0"/>
    <x v="0"/>
    <x v="0"/>
    <x v="0"/>
    <x v="1"/>
    <x v="0"/>
    <x v="0"/>
  </r>
  <r>
    <x v="38"/>
    <x v="9"/>
    <x v="35"/>
    <s v="https://www.rchopez.com/webshaper/pcm/gallery/lg/73d0bc1d2498815350e2b2a0464192c31479467366-lg.png_x000a_"/>
    <s v="Sticks-Balsa sticks soft (specify size) x12&quot;. $"/>
    <x v="2"/>
    <x v="0"/>
    <x v="0"/>
    <x v="0"/>
    <x v="0"/>
    <x v="0"/>
    <x v="1"/>
    <x v="0"/>
    <x v="0"/>
  </r>
  <r>
    <x v="39"/>
    <x v="10"/>
    <x v="35"/>
    <s v="https://www.woodworkerssource.com/mm5/graphics/woods_products/hardwood_dowels/birch_dowels_001.jpg_x000a_"/>
    <s v="Dowel-Birch dowel round (specify size) x12&quot;. $"/>
    <x v="2"/>
    <x v="0"/>
    <x v="0"/>
    <x v="0"/>
    <x v="0"/>
    <x v="0"/>
    <x v="1"/>
    <x v="0"/>
    <x v="0"/>
  </r>
  <r>
    <x v="40"/>
    <x v="9"/>
    <x v="35"/>
    <s v="https://cdn.shopify.com/s/files/1/2281/6393/products/yy1SIGBA226.jpg?v=1504658427_x000a_"/>
    <s v="Sticks-Basswood stick square (specify size) x12&quot;. $"/>
    <x v="2"/>
    <x v="0"/>
    <x v="0"/>
    <x v="0"/>
    <x v="0"/>
    <x v="0"/>
    <x v="1"/>
    <x v="0"/>
    <x v="0"/>
  </r>
  <r>
    <x v="41"/>
    <x v="4"/>
    <x v="36"/>
    <s v="https://encrypted-tbn0.gstatic.com/images?q=tbn:ANd9GcTqj9XxGREZR1pNRhWlwYgu6Pyvp8xtni6K5vXmXocJS3UeuV4c7Q_x000a_"/>
    <s v="Foam-EPS Foam White 1/2&quot; x24&quot;x48&quot;. $3.73"/>
    <x v="4"/>
    <x v="0"/>
    <x v="0"/>
    <x v="0"/>
    <x v="0"/>
    <x v="0"/>
    <x v="1"/>
    <x v="0"/>
    <x v="0"/>
  </r>
  <r>
    <x v="42"/>
    <x v="4"/>
    <x v="37"/>
    <s v="https://encrypted-tbn0.gstatic.com/images?q=tbn:ANd9GcTqj9XxGREZR1pNRhWlwYgu6Pyvp8xtni6K5vXmXocJS3UeuV4c7Q_x000a_"/>
    <s v="Foam-EPS Foam White 2&quot; x24&quot;x48&quot;. $15.47"/>
    <x v="4"/>
    <x v="0"/>
    <x v="0"/>
    <x v="0"/>
    <x v="0"/>
    <x v="0"/>
    <x v="1"/>
    <x v="0"/>
    <x v="0"/>
  </r>
  <r>
    <x v="43"/>
    <x v="11"/>
    <x v="12"/>
    <s v="https://buildgp.com/wp-content/uploads/2018/11/georgia-pacific-particleboard-corner-photo1-738x415.jpg_x000a_"/>
    <s v="Board-Particleboard 3/8&quot; x12&quot;x12&quot;. $0.87"/>
    <x v="1"/>
    <x v="0"/>
    <x v="0"/>
    <x v="0"/>
    <x v="0"/>
    <x v="0"/>
    <x v="1"/>
    <x v="0"/>
    <x v="0"/>
  </r>
  <r>
    <x v="44"/>
    <x v="11"/>
    <x v="38"/>
    <s v="https://buildgp.com/wp-content/uploads/2018/11/georgia-pacific-particleboard-corner-photo1-738x415.jpg_x000a_"/>
    <s v="Board-Particleboard 1/2&quot; x12&quot;x12&quot;. $0.9"/>
    <x v="1"/>
    <x v="0"/>
    <x v="0"/>
    <x v="0"/>
    <x v="0"/>
    <x v="0"/>
    <x v="1"/>
    <x v="0"/>
    <x v="0"/>
  </r>
  <r>
    <x v="45"/>
    <x v="2"/>
    <x v="39"/>
    <s v="https://i.etsystatic.com/5553166/r/il/31a37d/1750563203/il_570xN.1750563203_lm14.jpg_x000a_"/>
    <s v="Acrylic-Acrylic Colored 1/8&quot; x18&quot;x24&quot;. $19.34"/>
    <x v="0"/>
    <x v="0"/>
    <x v="0"/>
    <x v="0"/>
    <x v="0"/>
    <x v="0"/>
    <x v="0"/>
    <x v="0"/>
    <x v="0"/>
  </r>
  <r>
    <x v="46"/>
    <x v="11"/>
    <x v="40"/>
    <s v="https://cdn.shopify.com/s/files/1/1436/7450/products/glamour_image_grande.jpg?v=1534301968_x000a_Peterboro Mat Board"/>
    <s v="Board-Mat Board CIV102 x1 unit. $0"/>
    <x v="11"/>
    <x v="0"/>
    <x v="0"/>
    <x v="0"/>
    <x v="0"/>
    <x v="0"/>
    <x v="0"/>
    <x v="0"/>
    <x v="0"/>
  </r>
  <r>
    <x v="47"/>
    <x v="12"/>
    <x v="41"/>
    <s v="https://images-na.ssl-images-amazon.com/images/I/61FwSp3RwFL._SX466_.jpg_x000a_"/>
    <s v="Corrugated PlasticCorrugated Plastic x24&quot;x48&quot;. $7.5"/>
    <x v="4"/>
    <x v="0"/>
    <x v="0"/>
    <x v="0"/>
    <x v="0"/>
    <x v="0"/>
    <x v="1"/>
    <x v="0"/>
    <x v="0"/>
  </r>
  <r>
    <x v="48"/>
    <x v="5"/>
    <x v="42"/>
    <s v="https://www.staples-3p.com/s7/is/image/Staples/sp43815387_sc7?wid=512&amp;hei=512_x000a_"/>
    <s v="CardboardCardstock x8.5x11&quot;. $0.12"/>
    <x v="12"/>
    <x v="0"/>
    <x v="0"/>
    <x v="0"/>
    <x v="0"/>
    <x v="0"/>
    <x v="0"/>
    <x v="0"/>
    <x v="0"/>
  </r>
  <r>
    <x v="49"/>
    <x v="13"/>
    <x v="25"/>
    <s v="https://s7d2.scene7.com/is/image/homedepotcanada/p_1000850316.jpg_x000a_"/>
    <s v="Vynil SheetClear vinyl sheet x12&quot;x12&quot;. $0.64"/>
    <x v="1"/>
    <x v="0"/>
    <x v="0"/>
    <x v="0"/>
    <x v="0"/>
    <x v="0"/>
    <x v="1"/>
    <x v="0"/>
    <x v="0"/>
  </r>
  <r>
    <x v="50"/>
    <x v="14"/>
    <x v="43"/>
    <s v="https://www.vfmgroup.com.au/assets/full/AF-HF-30.jpg?1537837551_x000a_"/>
    <s v="EVAEVA black 1/8&quot; x12&quot;x12&quot;. $2.15"/>
    <x v="1"/>
    <x v="0"/>
    <x v="0"/>
    <x v="0"/>
    <x v="0"/>
    <x v="0"/>
    <x v="1"/>
    <x v="0"/>
    <x v="0"/>
  </r>
  <r>
    <x v="51"/>
    <x v="14"/>
    <x v="44"/>
    <s v="https://www.vfmgroup.com.au/assets/full/AF-HF-30.jpg?1537837551_x000a_"/>
    <s v="EVAEVA black 1/4&quot; x12&quot;x12&quot;. $2.6"/>
    <x v="1"/>
    <x v="0"/>
    <x v="0"/>
    <x v="0"/>
    <x v="0"/>
    <x v="0"/>
    <x v="1"/>
    <x v="0"/>
    <x v="0"/>
  </r>
  <r>
    <x v="52"/>
    <x v="14"/>
    <x v="45"/>
    <s v="https://www.vfmgroup.com.au/assets/full/AF-HF-30.jpg?1537837551_x000a_"/>
    <s v="EVAEVA black 1/2&quot; x12&quot;x12&quot;. $3.58"/>
    <x v="1"/>
    <x v="0"/>
    <x v="0"/>
    <x v="0"/>
    <x v="0"/>
    <x v="0"/>
    <x v="1"/>
    <x v="0"/>
    <x v="0"/>
  </r>
  <r>
    <x v="53"/>
    <x v="15"/>
    <x v="46"/>
    <s v="https://encrypted-tbn0.gstatic.com/images?q=tbn:ANd9GcQ2wsj5IUKdNaOYIc9cDjwL-9PRabRrToHfgD-jJ8K8PRpRVeII&amp;s_x000a_"/>
    <s v="Worbla A BlackWorbla black x12&quot;x12&quot;. $7.88"/>
    <x v="1"/>
    <x v="0"/>
    <x v="0"/>
    <x v="0"/>
    <x v="0"/>
    <x v="0"/>
    <x v="1"/>
    <x v="0"/>
    <x v="0"/>
  </r>
  <r>
    <x v="54"/>
    <x v="16"/>
    <x v="47"/>
    <s v="http://sc01.alicdn.com/kf/HTB1lPfGknCWBKNjSZFtq6yC3FXaK/White-Plastic-12-16-20-inch-diameter.jpg_x000a_"/>
    <s v="PVC PipePVC Pipe 1/2&quot; x12&quot;. $0.57"/>
    <x v="2"/>
    <x v="0"/>
    <x v="0"/>
    <x v="0"/>
    <x v="0"/>
    <x v="0"/>
    <x v="1"/>
    <x v="0"/>
    <x v="0"/>
  </r>
  <r>
    <x v="55"/>
    <x v="16"/>
    <x v="48"/>
    <s v="http://sc01.alicdn.com/kf/HTB1lPfGknCWBKNjSZFtq6yC3FXaK/White-Plastic-12-16-20-inch-diameter.jpg_x000a_"/>
    <s v="PVC PipePVC Pipe 3/4&quot; x12&quot;. $0.67"/>
    <x v="2"/>
    <x v="0"/>
    <x v="0"/>
    <x v="0"/>
    <x v="0"/>
    <x v="0"/>
    <x v="1"/>
    <x v="0"/>
    <x v="0"/>
  </r>
  <r>
    <x v="56"/>
    <x v="16"/>
    <x v="49"/>
    <s v="http://sc01.alicdn.com/kf/HTB1lPfGknCWBKNjSZFtq6yC3FXaK/White-Plastic-12-16-20-inch-diameter.jpg_x000a_"/>
    <s v="PVC PipePVC Pipe 1&quot; x12&quot;. $0.79"/>
    <x v="2"/>
    <x v="0"/>
    <x v="0"/>
    <x v="0"/>
    <x v="0"/>
    <x v="0"/>
    <x v="1"/>
    <x v="0"/>
    <x v="0"/>
  </r>
  <r>
    <x v="57"/>
    <x v="5"/>
    <x v="13"/>
    <s v="https://actionenvelope.scene7.com/is/image/ActionEnvelope/BP-P2018K?hei=413&amp;wid=510&amp;fmt=jpeg&amp;qlt=50&amp;bgc=f1f1f1_x000a_"/>
    <s v="CardboardCardboard tube 2&quot; x36&quot;. $2.52"/>
    <x v="13"/>
    <x v="0"/>
    <x v="0"/>
    <x v="0"/>
    <x v="0"/>
    <x v="0"/>
    <x v="1"/>
    <x v="0"/>
    <x v="0"/>
  </r>
  <r>
    <x v="58"/>
    <x v="6"/>
    <x v="50"/>
    <s v="https://www.pitsco.com/sharedimages/product/ExtraLarge/XL_BALSASHEETS.jpg_x000a_"/>
    <s v="Balsa sheetBalsa sheet 1/16&quot; x6&quot;x12&quot;. $1.09"/>
    <x v="7"/>
    <x v="0"/>
    <x v="0"/>
    <x v="0"/>
    <x v="0"/>
    <x v="0"/>
    <x v="0"/>
    <x v="0"/>
    <x v="0"/>
  </r>
  <r>
    <x v="58"/>
    <x v="6"/>
    <x v="28"/>
    <s v="https://www.pitsco.com/sharedimages/product/ExtraLarge/XL_BALSASHEETS.jpg_x000a_"/>
    <s v="Balsa sheetBalsa sheet 1/16&quot; x3&quot;x12&quot;. $0.38"/>
    <x v="9"/>
    <x v="0"/>
    <x v="0"/>
    <x v="0"/>
    <x v="0"/>
    <x v="0"/>
    <x v="0"/>
    <x v="0"/>
    <x v="0"/>
  </r>
  <r>
    <x v="59"/>
    <x v="3"/>
    <x v="51"/>
    <s v="https://pro.goodrichlumber.com/MainSite/Store1/_CachedContent/_ECommerce/StoreProductCategories/2.png_x000a_"/>
    <s v="Spruce* OUT OF STOCK -Spruce 1x2 x12&quot;. $0.27"/>
    <x v="2"/>
    <x v="0"/>
    <x v="0"/>
    <x v="0"/>
    <x v="0"/>
    <x v="0"/>
    <x v="1"/>
    <x v="0"/>
    <x v="0"/>
  </r>
  <r>
    <x v="60"/>
    <x v="11"/>
    <x v="24"/>
    <s v="https://da.lowes.ca/webassets/images/720625_05339188_001_l.jpg_x000a_"/>
    <s v="BoardPine board 12&quot; x24&quot;. $3.52"/>
    <x v="14"/>
    <x v="0"/>
    <x v="0"/>
    <x v="0"/>
    <x v="0"/>
    <x v="0"/>
    <x v="1"/>
    <x v="0"/>
    <x v="0"/>
  </r>
  <r>
    <x v="61"/>
    <x v="11"/>
    <x v="52"/>
    <s v="https://www.woodworkerssource.com/mm5/graphics/woods_stacks_scans/main_lumber/maple-hard-lumber.jpg_x000a_"/>
    <s v="BoardMaple board 1&quot; x6&quot;x12&quot;. $10.03"/>
    <x v="7"/>
    <x v="0"/>
    <x v="0"/>
    <x v="0"/>
    <x v="0"/>
    <x v="0"/>
    <x v="1"/>
    <x v="0"/>
    <x v="0"/>
  </r>
  <r>
    <x v="62"/>
    <x v="4"/>
    <x v="53"/>
    <s v="https://static1.squarespace.com/static/53f9d90ee4b0572e560769f8/53fa315ce4b0727da1b81a20/544b701be4b04f9b3c5db596/1548250703980/?format=1000w_x000a_"/>
    <s v="FoamXPS Blue 2&quot; x12&quot;x12&quot;. $2.53"/>
    <x v="1"/>
    <x v="0"/>
    <x v="0"/>
    <x v="0"/>
    <x v="0"/>
    <x v="0"/>
    <x v="1"/>
    <x v="0"/>
    <x v="0"/>
  </r>
  <r>
    <x v="63"/>
    <x v="10"/>
    <x v="54"/>
    <s v="https://www.woodworkerssource.com/mm5/graphics/woods_products/hardwood_dowels/birch_dowels_001.jpg_x000a_"/>
    <s v="DowelBirch dowel 1/8&quot; x12&quot;. $0.11"/>
    <x v="2"/>
    <x v="0"/>
    <x v="0"/>
    <x v="0"/>
    <x v="0"/>
    <x v="0"/>
    <x v="1"/>
    <x v="0"/>
    <x v="0"/>
  </r>
  <r>
    <x v="64"/>
    <x v="10"/>
    <x v="55"/>
    <s v="https://www.woodworkerssource.com/mm5/graphics/woods_products/hardwood_dowels/birch_dowels_001.jpg_x000a_"/>
    <s v="DowelBirch dowel 3/16&quot; x12&quot;. $0.16"/>
    <x v="2"/>
    <x v="0"/>
    <x v="0"/>
    <x v="0"/>
    <x v="0"/>
    <x v="0"/>
    <x v="1"/>
    <x v="0"/>
    <x v="0"/>
  </r>
  <r>
    <x v="65"/>
    <x v="10"/>
    <x v="56"/>
    <s v="https://www.woodworkerssource.com/mm5/graphics/woods_products/hardwood_dowels/birch_dowels_001.jpg_x000a_"/>
    <s v="DowelBirch dowel 1/4&quot; x12&quot;. $0.18"/>
    <x v="2"/>
    <x v="0"/>
    <x v="0"/>
    <x v="0"/>
    <x v="0"/>
    <x v="0"/>
    <x v="1"/>
    <x v="0"/>
    <x v="0"/>
  </r>
  <r>
    <x v="66"/>
    <x v="10"/>
    <x v="57"/>
    <s v="https://www.woodworkerssource.com/mm5/graphics/woods_products/hardwood_dowels/birch_dowels_001.jpg_x000a_"/>
    <s v="DowelBirch dowel 5/16&quot; x12&quot;. $0.22"/>
    <x v="2"/>
    <x v="0"/>
    <x v="0"/>
    <x v="0"/>
    <x v="0"/>
    <x v="0"/>
    <x v="1"/>
    <x v="0"/>
    <x v="0"/>
  </r>
  <r>
    <x v="67"/>
    <x v="10"/>
    <x v="58"/>
    <s v="https://www.woodworkerssource.com/mm5/graphics/woods_products/hardwood_dowels/birch_dowels_001.jpg_x000a_"/>
    <s v="DowelBirch dowel 3/8&quot; x12&quot;. $0.28"/>
    <x v="2"/>
    <x v="0"/>
    <x v="0"/>
    <x v="0"/>
    <x v="0"/>
    <x v="0"/>
    <x v="1"/>
    <x v="0"/>
    <x v="0"/>
  </r>
  <r>
    <x v="68"/>
    <x v="10"/>
    <x v="28"/>
    <s v="https://www.woodworkerssource.com/mm5/graphics/woods_products/hardwood_dowels/birch_dowels_001.jpg_x000a_"/>
    <s v="DowelBirch dowel 7/16&quot; x12&quot;. $0.38"/>
    <x v="2"/>
    <x v="0"/>
    <x v="0"/>
    <x v="0"/>
    <x v="0"/>
    <x v="0"/>
    <x v="1"/>
    <x v="0"/>
    <x v="0"/>
  </r>
  <r>
    <x v="69"/>
    <x v="10"/>
    <x v="59"/>
    <s v="https://www.woodworkerssource.com/mm5/graphics/woods_products/hardwood_dowels/birch_dowels_001.jpg_x000a_"/>
    <s v="DowelBirch dowel 1/2&quot; x12&quot;. $0.48"/>
    <x v="2"/>
    <x v="0"/>
    <x v="0"/>
    <x v="0"/>
    <x v="0"/>
    <x v="0"/>
    <x v="1"/>
    <x v="0"/>
    <x v="0"/>
  </r>
  <r>
    <x v="70"/>
    <x v="10"/>
    <x v="48"/>
    <s v="https://www.woodworkerssource.com/mm5/graphics/woods_products/hardwood_dowels/birch_dowels_001.jpg_x000a_"/>
    <s v="DowelBirch dowel 5/8&quot; x12&quot;. $0.67"/>
    <x v="2"/>
    <x v="0"/>
    <x v="0"/>
    <x v="0"/>
    <x v="0"/>
    <x v="0"/>
    <x v="1"/>
    <x v="0"/>
    <x v="0"/>
  </r>
  <r>
    <x v="71"/>
    <x v="10"/>
    <x v="60"/>
    <s v="https://www.woodworkerssource.com/mm5/graphics/woods_products/hardwood_dowels/birch_dowels_001.jpg_x000a_"/>
    <s v="DowelBirch dowel 3/4&quot; x12&quot;. $1.11"/>
    <x v="2"/>
    <x v="0"/>
    <x v="0"/>
    <x v="0"/>
    <x v="0"/>
    <x v="0"/>
    <x v="1"/>
    <x v="0"/>
    <x v="0"/>
  </r>
  <r>
    <x v="72"/>
    <x v="10"/>
    <x v="61"/>
    <s v="https://www.woodworkerssource.com/mm5/graphics/woods_products/hardwood_dowels/birch_dowels_001.jpg_x000a_"/>
    <s v="DowelBirch dowel 7/8&quot; x12&quot;. $0.45"/>
    <x v="2"/>
    <x v="0"/>
    <x v="0"/>
    <x v="0"/>
    <x v="0"/>
    <x v="0"/>
    <x v="1"/>
    <x v="0"/>
    <x v="0"/>
  </r>
  <r>
    <x v="73"/>
    <x v="10"/>
    <x v="14"/>
    <s v="https://www.woodworkerssource.com/mm5/graphics/woods_products/hardwood_dowels/birch_dowels_001.jpg_x000a_"/>
    <s v="DowelBirch dowel 1&quot; x12&quot;. $1.92"/>
    <x v="2"/>
    <x v="0"/>
    <x v="0"/>
    <x v="0"/>
    <x v="0"/>
    <x v="0"/>
    <x v="1"/>
    <x v="0"/>
    <x v="0"/>
  </r>
  <r>
    <x v="74"/>
    <x v="10"/>
    <x v="62"/>
    <s v="https://www.woodworkerssource.com/mm5/graphics/woods_products/hardwood_dowels/birch_dowels_001.jpg_x000a_"/>
    <s v="DowelBirch dowel 1-1/8&quot; x12&quot;. $2.56"/>
    <x v="2"/>
    <x v="0"/>
    <x v="0"/>
    <x v="0"/>
    <x v="0"/>
    <x v="0"/>
    <x v="1"/>
    <x v="0"/>
    <x v="0"/>
  </r>
  <r>
    <x v="75"/>
    <x v="10"/>
    <x v="63"/>
    <s v="https://www.woodworkerssource.com/mm5/graphics/woods_products/hardwood_dowels/birch_dowels_001.jpg_x000a_"/>
    <s v="DowelBirch dowel 1-1/4&quot; x12&quot;. $3.12"/>
    <x v="2"/>
    <x v="0"/>
    <x v="0"/>
    <x v="0"/>
    <x v="0"/>
    <x v="0"/>
    <x v="1"/>
    <x v="0"/>
    <x v="0"/>
  </r>
  <r>
    <x v="76"/>
    <x v="9"/>
    <x v="64"/>
    <s v="https://cdn.shopify.com/s/files/1/2281/6393/products/yy1SIGBA226.jpg?v=1504658427_x000a_"/>
    <s v="SticksBass stick 1/32 x 1/32&quot; x12&quot;x12&quot;. $0.08"/>
    <x v="1"/>
    <x v="0"/>
    <x v="0"/>
    <x v="0"/>
    <x v="0"/>
    <x v="0"/>
    <x v="1"/>
    <x v="0"/>
    <x v="0"/>
  </r>
  <r>
    <x v="77"/>
    <x v="9"/>
    <x v="64"/>
    <s v="https://cdn.shopify.com/s/files/1/2281/6393/products/yy1SIGBA226.jpg?v=1504658427_x000a_"/>
    <s v="SticksBass stick 1/16 x 1/16&quot; x12&quot;x12&quot;. $0.08"/>
    <x v="1"/>
    <x v="0"/>
    <x v="0"/>
    <x v="0"/>
    <x v="0"/>
    <x v="0"/>
    <x v="1"/>
    <x v="0"/>
    <x v="0"/>
  </r>
  <r>
    <x v="78"/>
    <x v="9"/>
    <x v="65"/>
    <s v="https://cdn.shopify.com/s/files/1/2281/6393/products/yy1SIGBA226.jpg?v=1504658427_x000a_"/>
    <s v="SticksBass stick 1/8 x 1/8&quot; x12&quot;x12&quot;. $0.1"/>
    <x v="1"/>
    <x v="0"/>
    <x v="0"/>
    <x v="0"/>
    <x v="0"/>
    <x v="0"/>
    <x v="1"/>
    <x v="0"/>
    <x v="0"/>
  </r>
  <r>
    <x v="79"/>
    <x v="9"/>
    <x v="66"/>
    <s v="https://cdn.shopify.com/s/files/1/2281/6393/products/yy1SIGBA226.jpg?v=1504658427_x000a_"/>
    <s v="SticksBass stick 1/8 x 1/4&quot; x12&quot;x12&quot;. $0.17"/>
    <x v="1"/>
    <x v="0"/>
    <x v="0"/>
    <x v="0"/>
    <x v="0"/>
    <x v="0"/>
    <x v="1"/>
    <x v="0"/>
    <x v="0"/>
  </r>
  <r>
    <x v="80"/>
    <x v="9"/>
    <x v="67"/>
    <s v="https://cdn.shopify.com/s/files/1/2281/6393/products/yy1SIGBA226.jpg?v=1504658427_x000a_"/>
    <s v="SticksBass stick 1/8 x 3/8&quot; x12&quot;x12&quot;. $0.26"/>
    <x v="1"/>
    <x v="0"/>
    <x v="0"/>
    <x v="0"/>
    <x v="0"/>
    <x v="0"/>
    <x v="1"/>
    <x v="0"/>
    <x v="0"/>
  </r>
  <r>
    <x v="81"/>
    <x v="9"/>
    <x v="68"/>
    <s v="https://cdn.shopify.com/s/files/1/2281/6393/products/yy1SIGBA226.jpg?v=1504658427_x000a_"/>
    <s v="SticksBass stick 1/8 x 1/2&quot; x12&quot;x12&quot;. $0.34"/>
    <x v="1"/>
    <x v="0"/>
    <x v="0"/>
    <x v="0"/>
    <x v="0"/>
    <x v="0"/>
    <x v="1"/>
    <x v="0"/>
    <x v="0"/>
  </r>
  <r>
    <x v="82"/>
    <x v="9"/>
    <x v="69"/>
    <s v="https://cdn.shopify.com/s/files/1/2281/6393/products/yy1SIGBA226.jpg?v=1504658427_x000a_"/>
    <s v="SticksBass stick 1/8 x 3/4&quot; x12&quot;x12&quot;. $0.42"/>
    <x v="1"/>
    <x v="0"/>
    <x v="0"/>
    <x v="0"/>
    <x v="0"/>
    <x v="0"/>
    <x v="1"/>
    <x v="0"/>
    <x v="0"/>
  </r>
  <r>
    <x v="83"/>
    <x v="9"/>
    <x v="67"/>
    <s v="https://cdn.shopify.com/s/files/1/2281/6393/products/yy1SIGBA226.jpg?v=1504658427_x000a_"/>
    <s v="SticksBass stick 1/4 x 1/4&quot; x12&quot;x12&quot;. $0.26"/>
    <x v="1"/>
    <x v="0"/>
    <x v="0"/>
    <x v="0"/>
    <x v="0"/>
    <x v="0"/>
    <x v="1"/>
    <x v="0"/>
    <x v="0"/>
  </r>
  <r>
    <x v="84"/>
    <x v="9"/>
    <x v="70"/>
    <s v="https://cdn.shopify.com/s/files/1/2281/6393/products/yy1SIGBA226.jpg?v=1504658427_x000a_"/>
    <s v="SticksBass stick 3/8 x 3/8&quot; x12&quot;x12&quot;. $0.43"/>
    <x v="1"/>
    <x v="0"/>
    <x v="0"/>
    <x v="0"/>
    <x v="0"/>
    <x v="0"/>
    <x v="1"/>
    <x v="0"/>
    <x v="0"/>
  </r>
  <r>
    <x v="85"/>
    <x v="9"/>
    <x v="71"/>
    <s v="https://cdn.shopify.com/s/files/1/2281/6393/products/yy1SIGBA226.jpg?v=1504658427_x000a_"/>
    <s v="SticksBass stick 1/2 x 1/2&quot; x12&quot;x12&quot;. $0.61"/>
    <x v="1"/>
    <x v="0"/>
    <x v="0"/>
    <x v="0"/>
    <x v="0"/>
    <x v="0"/>
    <x v="1"/>
    <x v="0"/>
    <x v="0"/>
  </r>
  <r>
    <x v="86"/>
    <x v="9"/>
    <x v="72"/>
    <s v="https://cdn.shopify.com/s/files/1/2281/6393/products/yy1SIGBA226.jpg?v=1504658427_x000a_"/>
    <s v="SticksBass stick 3/4 x 3/4&quot; x12&quot;x12&quot;. $0.72"/>
    <x v="1"/>
    <x v="0"/>
    <x v="0"/>
    <x v="0"/>
    <x v="0"/>
    <x v="0"/>
    <x v="1"/>
    <x v="0"/>
    <x v="0"/>
  </r>
  <r>
    <x v="87"/>
    <x v="9"/>
    <x v="73"/>
    <s v="https://cdn.shopify.com/s/files/1/2281/6393/products/yy1SIGBA226.jpg?v=1504658427_x000a_"/>
    <s v="SticksBass stick 1 x 1&quot; x12&quot;x12&quot;. $0.99"/>
    <x v="1"/>
    <x v="0"/>
    <x v="0"/>
    <x v="0"/>
    <x v="0"/>
    <x v="0"/>
    <x v="1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9">
  <r>
    <n v="6"/>
    <x v="0"/>
    <x v="0"/>
    <x v="0"/>
    <n v="2.72"/>
    <s v="https://media.digikey.com/Photos/Chip%20Quik%20Photos/MFG_SBB1005-1.jpg_x000a_"/>
    <x v="0"/>
    <x v="0"/>
    <x v="0"/>
    <x v="0"/>
    <x v="0"/>
    <x v="0"/>
    <s v="6 MECHATRONICS"/>
    <x v="0"/>
    <x v="0"/>
  </r>
  <r>
    <n v="7"/>
    <x v="1"/>
    <x v="0"/>
    <x v="0"/>
    <n v="4.6100000000000003"/>
    <s v="https://media.digikey.com/Photos/Chip%20Quik%20Photos/MFG_SBB1605-1.jpg_x000a_"/>
    <x v="0"/>
    <x v="1"/>
    <x v="0"/>
    <x v="0"/>
    <x v="1"/>
    <x v="0"/>
    <s v="7 MECHATRONICS"/>
    <x v="0"/>
    <x v="0"/>
  </r>
  <r>
    <n v="9"/>
    <x v="2"/>
    <x v="0"/>
    <x v="0"/>
    <n v="0.33"/>
    <s v="https://media.digikey.com/Photos/Alpha%20Wire%20Photos/HOOK-UP-SOLID-BLACK.jpg_x000a_"/>
    <x v="0"/>
    <x v="2"/>
    <x v="1"/>
    <x v="0"/>
    <x v="2"/>
    <x v="0"/>
    <s v="9 MECHATRONICS"/>
    <x v="0"/>
    <x v="1"/>
  </r>
  <r>
    <n v="10"/>
    <x v="3"/>
    <x v="0"/>
    <x v="0"/>
    <n v="0.33"/>
    <s v="https://media.digikey.com/Photos/Alpha%20Wire%20Photos/HOOK-UP-SOLID-BLUE.jpg_x000a_"/>
    <x v="0"/>
    <x v="3"/>
    <x v="2"/>
    <x v="0"/>
    <x v="2"/>
    <x v="0"/>
    <s v="10 MECHATRONICS"/>
    <x v="0"/>
    <x v="2"/>
  </r>
  <r>
    <n v="11"/>
    <x v="4"/>
    <x v="0"/>
    <x v="0"/>
    <n v="1.21"/>
    <s v="https://canada.newark.com/productimages/standard/en_US/20X1009-40.jpg_x000a_"/>
    <x v="0"/>
    <x v="4"/>
    <x v="3"/>
    <x v="0"/>
    <x v="3"/>
    <x v="0"/>
    <s v="11 MECHATRONICS"/>
    <x v="0"/>
    <x v="3"/>
  </r>
  <r>
    <n v="12"/>
    <x v="5"/>
    <x v="0"/>
    <x v="0"/>
    <n v="1.18"/>
    <s v="https://canada.newark.com/productimages/standard/en_US/34P9355-40.jpg_x000a_"/>
    <x v="0"/>
    <x v="5"/>
    <x v="1"/>
    <x v="0"/>
    <x v="4"/>
    <x v="0"/>
    <s v="12 MECHATRONICS"/>
    <x v="0"/>
    <x v="1"/>
  </r>
  <r>
    <n v="13"/>
    <x v="6"/>
    <x v="0"/>
    <x v="0"/>
    <n v="2"/>
    <s v="https://www.mouser.ca/images/stmicroelectronics/images/TO_220_3_t.jpg_x000a_"/>
    <x v="1"/>
    <x v="6"/>
    <x v="1"/>
    <x v="0"/>
    <x v="5"/>
    <x v="0"/>
    <s v="13 MECHATRONICS"/>
    <x v="0"/>
    <x v="1"/>
  </r>
  <r>
    <n v="15"/>
    <x v="7"/>
    <x v="0"/>
    <x v="0"/>
    <n v="4.74"/>
    <s v="https://media.digikey.com/Photos/TE%20Connectivity/MT2-AXICOM.jpg_x000a_"/>
    <x v="2"/>
    <x v="7"/>
    <x v="4"/>
    <x v="0"/>
    <x v="6"/>
    <x v="0"/>
    <s v="15 MECHATRONICS"/>
    <x v="0"/>
    <x v="4"/>
  </r>
  <r>
    <n v="18"/>
    <x v="8"/>
    <x v="0"/>
    <x v="0"/>
    <n v="2.1"/>
    <s v="https://media.digikey.com/Renders/Fairchild%20Semi%20Renders/TO-220-3.jpg_x000a_"/>
    <x v="2"/>
    <x v="8"/>
    <x v="1"/>
    <x v="0"/>
    <x v="7"/>
    <x v="0"/>
    <s v="18 MECHATRONICS"/>
    <x v="0"/>
    <x v="1"/>
  </r>
  <r>
    <n v="20"/>
    <x v="9"/>
    <x v="0"/>
    <x v="0"/>
    <n v="0.2"/>
    <s v="https://media.digikey.com/photos/Yageo%20Photos/CFR-25JB-820K.jpg_x000a_"/>
    <x v="2"/>
    <x v="9"/>
    <x v="5"/>
    <x v="0"/>
    <x v="8"/>
    <x v="0"/>
    <s v="20 MECHATRONICS"/>
    <x v="0"/>
    <x v="5"/>
  </r>
  <r>
    <n v="21"/>
    <x v="10"/>
    <x v="0"/>
    <x v="0"/>
    <n v="0.19"/>
    <s v="https://media.digikey.com/Renders/Vishay%20Semi%20Renders/112;DO204AL,,DO-41;;2.jpg_x000a_"/>
    <x v="2"/>
    <x v="10"/>
    <x v="6"/>
    <x v="0"/>
    <x v="9"/>
    <x v="0"/>
    <s v="21 MECHATRONICS"/>
    <x v="0"/>
    <x v="6"/>
  </r>
  <r>
    <n v="31"/>
    <x v="11"/>
    <x v="0"/>
    <x v="0"/>
    <n v="2.2200000000000002"/>
    <s v="https://www.mouser.ca/images/adi/images/ITP_ADI_TO-92-3_T-3-1_t.jpg_x000a_"/>
    <x v="3"/>
    <x v="11"/>
    <x v="2"/>
    <x v="0"/>
    <x v="10"/>
    <x v="0"/>
    <s v="31 MECHATRONICS"/>
    <x v="0"/>
    <x v="2"/>
  </r>
  <r>
    <n v="40"/>
    <x v="12"/>
    <x v="0"/>
    <x v="0"/>
    <n v="0.35"/>
    <s v="https://media.digikey.com/Photos/Everlight%20Electronics/MV5754A.JPG_x000a_"/>
    <x v="2"/>
    <x v="12"/>
    <x v="7"/>
    <x v="0"/>
    <x v="11"/>
    <x v="0"/>
    <s v="40 MECHATRONICS"/>
    <x v="0"/>
    <x v="7"/>
  </r>
  <r>
    <n v="43"/>
    <x v="13"/>
    <x v="0"/>
    <x v="0"/>
    <n v="0.33"/>
    <s v="https://media.digikey.com/Photos/Daburn%20Elect.%20Photos/HOOK-UP-SOLID-VIOLET.jpg_x000a_"/>
    <x v="0"/>
    <x v="9"/>
    <x v="2"/>
    <x v="0"/>
    <x v="2"/>
    <x v="0"/>
    <s v="43 MECHATRONICS"/>
    <x v="0"/>
    <x v="2"/>
  </r>
  <r>
    <n v="44"/>
    <x v="14"/>
    <x v="0"/>
    <x v="0"/>
    <n v="0.33"/>
    <s v="https://media.digikey.com/Photos/Daburn%20Elect.%20Photos/HOOK-UP-SOLID-YELLOW.jpg_x000a_"/>
    <x v="0"/>
    <x v="9"/>
    <x v="2"/>
    <x v="0"/>
    <x v="2"/>
    <x v="0"/>
    <s v="44 MECHATRONICS"/>
    <x v="0"/>
    <x v="2"/>
  </r>
  <r>
    <n v="45"/>
    <x v="15"/>
    <x v="0"/>
    <x v="0"/>
    <n v="0.33"/>
    <s v="https://media.digikey.com/Photos/Daburn%20Elect.%20Photos/HOOK-UP-SOLID-BROWN.jpg_x000a_"/>
    <x v="0"/>
    <x v="9"/>
    <x v="2"/>
    <x v="0"/>
    <x v="2"/>
    <x v="0"/>
    <s v="45 MECHATRONICS"/>
    <x v="0"/>
    <x v="2"/>
  </r>
  <r>
    <n v="56"/>
    <x v="16"/>
    <x v="0"/>
    <x v="0"/>
    <n v="0.17"/>
    <s v="https://cdn.sparkfun.com//assets/parts/2/5/5/7/09140-02-L.jpg_x000a_"/>
    <x v="0"/>
    <x v="9"/>
    <x v="8"/>
    <x v="0"/>
    <x v="12"/>
    <x v="0"/>
    <s v="56 MECHATRONICS"/>
    <x v="0"/>
    <x v="8"/>
  </r>
  <r>
    <n v="57"/>
    <x v="17"/>
    <x v="0"/>
    <x v="0"/>
    <n v="0.17"/>
    <s v="https://media.digikey.com/photos/Microchip%20Tech%20Photos/AC163029.JPG_x000a_"/>
    <x v="0"/>
    <x v="9"/>
    <x v="8"/>
    <x v="0"/>
    <x v="12"/>
    <x v="0"/>
    <s v="57 MECHATRONICS"/>
    <x v="0"/>
    <x v="8"/>
  </r>
  <r>
    <n v="58"/>
    <x v="18"/>
    <x v="0"/>
    <x v="0"/>
    <n v="0.17"/>
    <s v="https://cdn.sparkfun.com//assets/parts/3/7/0/4/11026-Jumper_Wires_Standard_7in._M_M_-_30_AWG__30_Pack_-01.jpg_x000a_"/>
    <x v="0"/>
    <x v="9"/>
    <x v="8"/>
    <x v="0"/>
    <x v="12"/>
    <x v="0"/>
    <s v="58 MECHATRONICS"/>
    <x v="0"/>
    <x v="8"/>
  </r>
  <r>
    <n v="59"/>
    <x v="19"/>
    <x v="0"/>
    <x v="0"/>
    <n v="0.33"/>
    <s v="https://media.digikey.com/Photos/Alpha%20Wire%20Photos/HOOK-UP-SOLID-GREEN.jpg_x000a_"/>
    <x v="0"/>
    <x v="9"/>
    <x v="9"/>
    <x v="0"/>
    <x v="2"/>
    <x v="0"/>
    <s v="59 MECHATRONICS"/>
    <x v="0"/>
    <x v="9"/>
  </r>
  <r>
    <n v="60"/>
    <x v="20"/>
    <x v="0"/>
    <x v="0"/>
    <n v="0.33"/>
    <s v="https://media.digikey.com/Photos/Alpha%20Wire%20Photos/HOOK-UP-SOLID-RED.jpg_x000a_"/>
    <x v="0"/>
    <x v="9"/>
    <x v="10"/>
    <x v="0"/>
    <x v="2"/>
    <x v="0"/>
    <s v="60 MECHATRONICS"/>
    <x v="0"/>
    <x v="10"/>
  </r>
  <r>
    <n v="65"/>
    <x v="21"/>
    <x v="0"/>
    <x v="0"/>
    <n v="1.1000000000000001"/>
    <s v="https://media.digikey.com/Photos/Wurth%20Electronics%20Photos/61302011121.JPG_x000a_"/>
    <x v="0"/>
    <x v="13"/>
    <x v="11"/>
    <x v="0"/>
    <x v="13"/>
    <x v="0"/>
    <s v="65 MECHATRONICS"/>
    <x v="0"/>
    <x v="11"/>
  </r>
  <r>
    <n v="73"/>
    <x v="22"/>
    <x v="0"/>
    <x v="0"/>
    <n v="1.24"/>
    <s v="https://www.mouser.ca/images/stmicroelectronics/images/to-220.jpg_x000a_"/>
    <x v="1"/>
    <x v="14"/>
    <x v="0"/>
    <x v="0"/>
    <x v="14"/>
    <x v="0"/>
    <s v="73 MECHATRONICS"/>
    <x v="0"/>
    <x v="8"/>
  </r>
  <r>
    <n v="75"/>
    <x v="23"/>
    <x v="0"/>
    <x v="0"/>
    <n v="1.47"/>
    <s v="https://media.digikey.com/Renders/STMicro%20Renders/497~TO220-3TO220AB~~3.JPG_x000a_"/>
    <x v="1"/>
    <x v="15"/>
    <x v="8"/>
    <x v="0"/>
    <x v="15"/>
    <x v="0"/>
    <s v="75 MECHATRONICS"/>
    <x v="0"/>
    <x v="8"/>
  </r>
  <r>
    <n v="78"/>
    <x v="24"/>
    <x v="0"/>
    <x v="0"/>
    <n v="7.0000000000000007E-2"/>
    <s v="https://mainframecustom.com/wp-content/uploads/2014/10/2pin-Dupont-1.jpg_x000a_"/>
    <x v="0"/>
    <x v="9"/>
    <x v="8"/>
    <x v="0"/>
    <x v="16"/>
    <x v="0"/>
    <s v="78 MECHATRONICS"/>
    <x v="0"/>
    <x v="8"/>
  </r>
  <r>
    <n v="79"/>
    <x v="25"/>
    <x v="0"/>
    <x v="0"/>
    <n v="7.0000000000000007E-2"/>
    <s v="https://d3s11pzv7w3h1q.cloudfront.net/wp-content/uploads/CN-DU-H03.jpg_x000a_"/>
    <x v="0"/>
    <x v="9"/>
    <x v="8"/>
    <x v="0"/>
    <x v="16"/>
    <x v="0"/>
    <s v="79 MECHATRONICS"/>
    <x v="0"/>
    <x v="8"/>
  </r>
  <r>
    <n v="80"/>
    <x v="26"/>
    <x v="0"/>
    <x v="0"/>
    <n v="7.0000000000000007E-2"/>
    <s v="https://dojft4652t1in.cloudfront.net/wp-content/uploads/CN-DU-H05.jpg_x000a_"/>
    <x v="0"/>
    <x v="9"/>
    <x v="8"/>
    <x v="0"/>
    <x v="16"/>
    <x v="0"/>
    <s v="80 MECHATRONICS"/>
    <x v="0"/>
    <x v="8"/>
  </r>
  <r>
    <n v="81"/>
    <x v="27"/>
    <x v="0"/>
    <x v="0"/>
    <n v="7.0000000000000007E-2"/>
    <s v="https://dojft4652t1in.cloudfront.net/wp-content/uploads/CN-DU-H06.jpg_x000a_"/>
    <x v="0"/>
    <x v="9"/>
    <x v="8"/>
    <x v="0"/>
    <x v="16"/>
    <x v="0"/>
    <s v="81 MECHATRONICS"/>
    <x v="0"/>
    <x v="8"/>
  </r>
  <r>
    <n v="82"/>
    <x v="28"/>
    <x v="0"/>
    <x v="0"/>
    <n v="7.0000000000000007E-2"/>
    <s v="https://ae01.alicdn.com/kf/HTB1az_LwkKWBuNjy1zjq6AOypXa1/50PCS-High-Quality-2-54mm-7P-Dupont-Housing-Plastic-Shell-7-Pin-Dupont-Connector-Dupont-Jumper.jpg_Q90.jpg_.webp_x000a_"/>
    <x v="0"/>
    <x v="9"/>
    <x v="8"/>
    <x v="0"/>
    <x v="16"/>
    <x v="0"/>
    <s v="82 MECHATRONICS"/>
    <x v="0"/>
    <x v="8"/>
  </r>
  <r>
    <n v="83"/>
    <x v="29"/>
    <x v="0"/>
    <x v="0"/>
    <n v="7.0000000000000007E-2"/>
    <s v="https://d3s11pzv7w3h1q.cloudfront.net/wp-content/uploads/CN-DU-H08.jpg_x000a_"/>
    <x v="0"/>
    <x v="9"/>
    <x v="8"/>
    <x v="0"/>
    <x v="16"/>
    <x v="0"/>
    <s v="83 MECHATRONICS"/>
    <x v="0"/>
    <x v="8"/>
  </r>
  <r>
    <n v="84"/>
    <x v="30"/>
    <x v="0"/>
    <x v="0"/>
    <n v="7.0000000000000007E-2"/>
    <s v="https://d21d43znxvr466.cloudfront.net/wp-content/uploads/CN-DU-H09.jpg_x000a_"/>
    <x v="0"/>
    <x v="9"/>
    <x v="8"/>
    <x v="0"/>
    <x v="16"/>
    <x v="0"/>
    <s v="84 MECHATRONICS"/>
    <x v="0"/>
    <x v="8"/>
  </r>
  <r>
    <n v="85"/>
    <x v="31"/>
    <x v="0"/>
    <x v="0"/>
    <n v="7.0000000000000007E-2"/>
    <s v="https://dojft4652t1in.cloudfront.net/wp-content/uploads/CN-DU-H10.jpg_x000a_"/>
    <x v="0"/>
    <x v="9"/>
    <x v="8"/>
    <x v="0"/>
    <x v="16"/>
    <x v="0"/>
    <s v="85 MECHATRONICS"/>
    <x v="0"/>
    <x v="8"/>
  </r>
  <r>
    <n v="86"/>
    <x v="32"/>
    <x v="0"/>
    <x v="0"/>
    <n v="0.44"/>
    <s v="https://www.futurlec.com/Pictures/Package/ARDHEAD4_200.jpg_x000a_"/>
    <x v="0"/>
    <x v="9"/>
    <x v="8"/>
    <x v="0"/>
    <x v="17"/>
    <x v="0"/>
    <s v="86 MECHATRONICS"/>
    <x v="0"/>
    <x v="8"/>
  </r>
  <r>
    <n v="87"/>
    <x v="33"/>
    <x v="0"/>
    <x v="0"/>
    <n v="0.12"/>
    <s v="http://cdn.shopify.com/s/files/1/0915/1182/products/09280-1_600x.jpg?v=1473879125_x000a_"/>
    <x v="0"/>
    <x v="9"/>
    <x v="8"/>
    <x v="0"/>
    <x v="18"/>
    <x v="0"/>
    <s v="87 MECHATRONICS"/>
    <x v="0"/>
    <x v="8"/>
  </r>
  <r>
    <n v="88"/>
    <x v="34"/>
    <x v="0"/>
    <x v="0"/>
    <n v="0.2"/>
    <s v="https://images-na.ssl-images-amazon.com/images/I/51ReUgFXBCL._AC_SY355_.jpg_x000a_"/>
    <x v="0"/>
    <x v="9"/>
    <x v="8"/>
    <x v="0"/>
    <x v="8"/>
    <x v="0"/>
    <s v="88 MECHATRONICS"/>
    <x v="0"/>
    <x v="8"/>
  </r>
  <r>
    <n v="89"/>
    <x v="35"/>
    <x v="0"/>
    <x v="0"/>
    <n v="0.42"/>
    <s v="https://sc02.alicdn.com/kf/Hecf90214385e4cb8a44590b95b93ef49B/240501450/Hecf90214385e4cb8a44590b95b93ef49B.jpg_.webp_x000a_"/>
    <x v="0"/>
    <x v="9"/>
    <x v="8"/>
    <x v="0"/>
    <x v="19"/>
    <x v="0"/>
    <s v="89 MECHATRONICS"/>
    <x v="0"/>
    <x v="8"/>
  </r>
  <r>
    <n v="94"/>
    <x v="36"/>
    <x v="0"/>
    <x v="0"/>
    <n v="0.89"/>
    <s v="https://highclouds.co/wp-content/uploads/2020/07/DC-female-jack-wired.jpg_x000a_"/>
    <x v="0"/>
    <x v="9"/>
    <x v="8"/>
    <x v="0"/>
    <x v="20"/>
    <x v="0"/>
    <s v="94 MECHATRONICS"/>
    <x v="0"/>
    <x v="8"/>
  </r>
  <r>
    <n v="95"/>
    <x v="37"/>
    <x v="0"/>
    <x v="0"/>
    <n v="0.89"/>
    <s v="https://lampatronics.com/wp-content/uploads/2016/08/dc-55mm-x-25mm-jack-male-pigtail-connector-20cm-wi.jpg_x000a_"/>
    <x v="0"/>
    <x v="9"/>
    <x v="8"/>
    <x v="0"/>
    <x v="20"/>
    <x v="0"/>
    <s v="95 MECHATRONICS"/>
    <x v="0"/>
    <x v="8"/>
  </r>
  <r>
    <n v="102"/>
    <x v="38"/>
    <x v="0"/>
    <x v="0"/>
    <n v="0.03"/>
    <s v="https://5.imimg.com/data5/MG/WS/MY-10637014/jwco-capacitor-500x500.jpg_x000a_"/>
    <x v="2"/>
    <x v="9"/>
    <x v="8"/>
    <x v="0"/>
    <x v="21"/>
    <x v="0"/>
    <s v="102 MECHATRONICS"/>
    <x v="0"/>
    <x v="8"/>
  </r>
  <r>
    <n v="103"/>
    <x v="39"/>
    <x v="0"/>
    <x v="0"/>
    <n v="0.12"/>
    <s v="https://cdn.shopify.com/s/files/1/0174/1800/products/ctc_2_5mmradmlcc.jpg?v=1380728784_x000a_"/>
    <x v="2"/>
    <x v="9"/>
    <x v="9"/>
    <x v="0"/>
    <x v="18"/>
    <x v="0"/>
    <s v="103 MECHATRONICS"/>
    <x v="0"/>
    <x v="9"/>
  </r>
  <r>
    <n v="104"/>
    <x v="40"/>
    <x v="0"/>
    <x v="0"/>
    <n v="0.06"/>
    <s v="https://i.ebayimg.com/images/g/RkAAAOSwKTBZcvtP/s-l300.jpg_x000a_"/>
    <x v="2"/>
    <x v="9"/>
    <x v="8"/>
    <x v="0"/>
    <x v="22"/>
    <x v="0"/>
    <s v="104 MECHATRONICS"/>
    <x v="0"/>
    <x v="8"/>
  </r>
  <r>
    <n v="111"/>
    <x v="41"/>
    <x v="0"/>
    <x v="0"/>
    <n v="1.62"/>
    <s v="https://secure.sayal.com/images_tnx/TNX_TO218.JPG_x000a_"/>
    <x v="2"/>
    <x v="16"/>
    <x v="8"/>
    <x v="0"/>
    <x v="23"/>
    <x v="0"/>
    <s v="111 MECHATRONICS"/>
    <x v="0"/>
    <x v="8"/>
  </r>
  <r>
    <n v="112"/>
    <x v="42"/>
    <x v="0"/>
    <x v="0"/>
    <n v="1.28"/>
    <s v="https://www.mouser.ca/images/stmicroelectronics/lrg/to-220.jpg_x000a_"/>
    <x v="1"/>
    <x v="17"/>
    <x v="12"/>
    <x v="0"/>
    <x v="24"/>
    <x v="0"/>
    <s v="112 MECHATRONICS"/>
    <x v="0"/>
    <x v="8"/>
  </r>
  <r>
    <n v="113"/>
    <x v="43"/>
    <x v="0"/>
    <x v="0"/>
    <n v="2.4900000000000002"/>
    <s v="https://www.bearingscanada.com/v/vspfiles/photos/D19-L25-4X10MM-COUPLING-2T.jpg?v-cache=1623315117_x000a_"/>
    <x v="4"/>
    <x v="9"/>
    <x v="13"/>
    <x v="0"/>
    <x v="25"/>
    <x v="0"/>
    <s v="113 MECHATRONICS"/>
    <x v="0"/>
    <x v="12"/>
  </r>
  <r>
    <n v="116"/>
    <x v="44"/>
    <x v="0"/>
    <x v="0"/>
    <n v="1.03"/>
    <s v="https://media.digikey.com/Photos/Piher-Sensors/PT15NV15-105A2020.JPG_x000a_"/>
    <x v="2"/>
    <x v="18"/>
    <x v="14"/>
    <x v="0"/>
    <x v="26"/>
    <x v="0"/>
    <s v="116 MECHATRONICS"/>
    <x v="0"/>
    <x v="13"/>
  </r>
  <r>
    <n v="119"/>
    <x v="45"/>
    <x v="0"/>
    <x v="0"/>
    <n v="0.01"/>
    <s v="https://media.digikey.com/Renders/Stackpole%20Renders/CF%20220.jpg_x000a_"/>
    <x v="2"/>
    <x v="19"/>
    <x v="15"/>
    <x v="0"/>
    <x v="27"/>
    <x v="0"/>
    <s v="119 MECHATRONICS"/>
    <x v="0"/>
    <x v="14"/>
  </r>
  <r>
    <n v="120"/>
    <x v="46"/>
    <x v="0"/>
    <x v="0"/>
    <n v="0.01"/>
    <s v="https://media.digikey.com/Renders/Stackpole%20Renders/CF%20330.jpg_x000a_"/>
    <x v="2"/>
    <x v="19"/>
    <x v="15"/>
    <x v="0"/>
    <x v="27"/>
    <x v="0"/>
    <s v="120 MECHATRONICS"/>
    <x v="0"/>
    <x v="14"/>
  </r>
  <r>
    <n v="121"/>
    <x v="47"/>
    <x v="0"/>
    <x v="0"/>
    <n v="0.01"/>
    <s v="https://media.digikey.com/Renders/Stackpole%20Renders/CF%201k.jpg_x000a_"/>
    <x v="2"/>
    <x v="19"/>
    <x v="15"/>
    <x v="0"/>
    <x v="27"/>
    <x v="0"/>
    <s v="121 MECHATRONICS"/>
    <x v="0"/>
    <x v="14"/>
  </r>
  <r>
    <n v="122"/>
    <x v="48"/>
    <x v="0"/>
    <x v="0"/>
    <n v="0.01"/>
    <s v="https://media.digikey.com/Renders/Stackpole%20Renders/CF%202k.jpg_x000a_"/>
    <x v="2"/>
    <x v="19"/>
    <x v="15"/>
    <x v="0"/>
    <x v="27"/>
    <x v="0"/>
    <s v="122 MECHATRONICS"/>
    <x v="0"/>
    <x v="14"/>
  </r>
  <r>
    <n v="123"/>
    <x v="49"/>
    <x v="0"/>
    <x v="0"/>
    <n v="0.01"/>
    <s v="https://media.digikey.com/Renders/Stackpole%20Renders/CFMSeries%205-1k.jpg_x000a_"/>
    <x v="2"/>
    <x v="19"/>
    <x v="15"/>
    <x v="0"/>
    <x v="27"/>
    <x v="0"/>
    <s v="123 MECHATRONICS"/>
    <x v="0"/>
    <x v="14"/>
  </r>
  <r>
    <n v="124"/>
    <x v="50"/>
    <x v="0"/>
    <x v="0"/>
    <n v="0.01"/>
    <s v="https://media.digikey.com/Renders/Stackpole%20Renders/CF%2010k.jpg_x000a_"/>
    <x v="2"/>
    <x v="19"/>
    <x v="15"/>
    <x v="0"/>
    <x v="27"/>
    <x v="0"/>
    <s v="124 MECHATRONICS"/>
    <x v="0"/>
    <x v="14"/>
  </r>
  <r>
    <n v="1"/>
    <x v="51"/>
    <x v="0"/>
    <x v="0"/>
    <n v="21.6"/>
    <s v="https://canada.newark.com/productimages/standard/en_US/25AC5054-40.jpg_x000a_"/>
    <x v="1"/>
    <x v="9"/>
    <x v="1"/>
    <x v="0"/>
    <x v="28"/>
    <x v="1"/>
    <s v="1 MECHATRONICS"/>
    <x v="1"/>
    <x v="1"/>
  </r>
  <r>
    <n v="2"/>
    <x v="52"/>
    <x v="0"/>
    <x v="0"/>
    <n v="2.21"/>
    <s v="https://www.mouser.ca/images/eagleplasticdevices/images/12BH382DGR_t.jpg_x000a_"/>
    <x v="1"/>
    <x v="20"/>
    <x v="16"/>
    <x v="0"/>
    <x v="29"/>
    <x v="1"/>
    <s v="2 MECHATRONICS"/>
    <x v="0"/>
    <x v="15"/>
  </r>
  <r>
    <n v="3"/>
    <x v="53"/>
    <x v="0"/>
    <x v="0"/>
    <n v="3.93"/>
    <s v="https://media.digikey.com/Photos/Keystone%20Elect%20Photos/MFG_2478CN.jpg_x000a_"/>
    <x v="1"/>
    <x v="21"/>
    <x v="16"/>
    <x v="0"/>
    <x v="30"/>
    <x v="1"/>
    <s v="3 MECHATRONICS"/>
    <x v="0"/>
    <x v="15"/>
  </r>
  <r>
    <n v="4"/>
    <x v="54"/>
    <x v="0"/>
    <x v="0"/>
    <n v="5.94"/>
    <s v="https://canada.newark.com/productimages/standard/en_US/88W3961-40.jpg_x000a_"/>
    <x v="0"/>
    <x v="22"/>
    <x v="2"/>
    <x v="0"/>
    <x v="31"/>
    <x v="1"/>
    <s v="4 MECHATRONICS"/>
    <x v="0"/>
    <x v="2"/>
  </r>
  <r>
    <n v="5"/>
    <x v="55"/>
    <x v="0"/>
    <x v="0"/>
    <n v="10.44"/>
    <s v="https://media.digikey.com/Photos/BUD%20Industries%20Photos/BB-32656.jpg_x000a_"/>
    <x v="0"/>
    <x v="23"/>
    <x v="1"/>
    <x v="0"/>
    <x v="32"/>
    <x v="1"/>
    <s v="5 MECHATRONICS"/>
    <x v="0"/>
    <x v="1"/>
  </r>
  <r>
    <n v="8"/>
    <x v="56"/>
    <x v="0"/>
    <x v="0"/>
    <n v="2.33"/>
    <s v="https://cdn11.bigcommerce.com/s-am5zt8xfow/images/stencil/1280x1280/products/1635/7271/CS-PID-41__64183.1616092648.jpg?c=2_x000a_"/>
    <x v="0"/>
    <x v="9"/>
    <x v="12"/>
    <x v="0"/>
    <x v="33"/>
    <x v="1"/>
    <s v="8 MECHATRONICS"/>
    <x v="0"/>
    <x v="16"/>
  </r>
  <r>
    <n v="14"/>
    <x v="57"/>
    <x v="0"/>
    <x v="0"/>
    <n v="2.4900000000000002"/>
    <s v="https://canada.newark.com/productimages/standard/en_US/4765635.jpg_x000a_"/>
    <x v="2"/>
    <x v="24"/>
    <x v="17"/>
    <x v="0"/>
    <x v="34"/>
    <x v="1"/>
    <s v="14 MECHATRONICS"/>
    <x v="0"/>
    <x v="17"/>
  </r>
  <r>
    <n v="17"/>
    <x v="58"/>
    <x v="0"/>
    <x v="0"/>
    <n v="1.86"/>
    <s v="https://canada.newark.com/productimages/standard/en_US/33AC0092-40.jpg_x000a_"/>
    <x v="2"/>
    <x v="25"/>
    <x v="18"/>
    <x v="0"/>
    <x v="35"/>
    <x v="1"/>
    <s v="17 MECHATRONICS"/>
    <x v="0"/>
    <x v="18"/>
  </r>
  <r>
    <n v="19"/>
    <x v="59"/>
    <x v="0"/>
    <x v="0"/>
    <n v="5.0599999999999996"/>
    <s v="https://www.mouser.ca/images/sparkfun/images/bob-12009_SPL.jpg_x000a_"/>
    <x v="2"/>
    <x v="26"/>
    <x v="19"/>
    <x v="0"/>
    <x v="36"/>
    <x v="1"/>
    <s v="19 MECHATRONICS"/>
    <x v="0"/>
    <x v="19"/>
  </r>
  <r>
    <n v="22"/>
    <x v="60"/>
    <x v="0"/>
    <x v="0"/>
    <n v="6.68"/>
    <s v="https://www.canakit.com/Media/400/2661.jpg_x000a_"/>
    <x v="5"/>
    <x v="27"/>
    <x v="12"/>
    <x v="0"/>
    <x v="37"/>
    <x v="1"/>
    <s v="22 MECHATRONICS"/>
    <x v="0"/>
    <x v="16"/>
  </r>
  <r>
    <n v="23"/>
    <x v="61"/>
    <x v="0"/>
    <x v="0"/>
    <n v="66.040000000000006"/>
    <s v="https://www.mouser.ca/images/arduino/images/A000067_t.jpg_x000a_"/>
    <x v="5"/>
    <x v="28"/>
    <x v="0"/>
    <x v="0"/>
    <x v="38"/>
    <x v="1"/>
    <s v="23 MECHATRONICS"/>
    <x v="0"/>
    <x v="0"/>
  </r>
  <r>
    <n v="24"/>
    <x v="62"/>
    <x v="0"/>
    <x v="0"/>
    <n v="48.65"/>
    <s v="https://www.mouser.ca/images/arduino/images/ABX00052_DSL.jpg_x000a_"/>
    <x v="5"/>
    <x v="29"/>
    <x v="2"/>
    <x v="0"/>
    <x v="39"/>
    <x v="1"/>
    <s v="24 MECHATRONICS"/>
    <x v="0"/>
    <x v="2"/>
  </r>
  <r>
    <n v="25"/>
    <x v="63"/>
    <x v="0"/>
    <x v="0"/>
    <n v="7.05"/>
    <s v="https://media.digikey.com/Photos/Adafruit%20Industries%20LLC/MFG_4007-00.jpg_x000a_"/>
    <x v="3"/>
    <x v="30"/>
    <x v="16"/>
    <x v="0"/>
    <x v="40"/>
    <x v="1"/>
    <s v="25 MECHATRONICS"/>
    <x v="0"/>
    <x v="15"/>
  </r>
  <r>
    <n v="26"/>
    <x v="64"/>
    <x v="0"/>
    <x v="0"/>
    <n v="12.39"/>
    <s v="https://media.digikey.com/Photos/Sharp%20Photos/GP2Y0A41SK0F.JPG_x000a_"/>
    <x v="3"/>
    <x v="31"/>
    <x v="16"/>
    <x v="0"/>
    <x v="41"/>
    <x v="1"/>
    <s v="26 MECHATRONICS"/>
    <x v="0"/>
    <x v="15"/>
  </r>
  <r>
    <n v="27"/>
    <x v="65"/>
    <x v="0"/>
    <x v="0"/>
    <n v="16.670000000000002"/>
    <s v="https://media.digikey.com/Photos/Seeed%20Technology%20Ltd/MFG_114990100.jpg_x000a_"/>
    <x v="3"/>
    <x v="32"/>
    <x v="20"/>
    <x v="0"/>
    <x v="42"/>
    <x v="1"/>
    <s v="27 MECHATRONICS"/>
    <x v="0"/>
    <x v="20"/>
  </r>
  <r>
    <n v="28"/>
    <x v="66"/>
    <x v="0"/>
    <x v="0"/>
    <n v="45.59"/>
    <s v="https://media.digikey.com/Photos/Raspberry%20Pi/MFG_913-2673.JPG_x000a_"/>
    <x v="3"/>
    <x v="33"/>
    <x v="0"/>
    <x v="0"/>
    <x v="43"/>
    <x v="1"/>
    <s v="28 MECHATRONICS"/>
    <x v="0"/>
    <x v="0"/>
  </r>
  <r>
    <n v="29"/>
    <x v="67"/>
    <x v="0"/>
    <x v="0"/>
    <n v="58.5"/>
    <s v="https://media.digikey.com/Photos/Honeywell%20Photos/MFG_SSCDAN%20Series,,%208-DIP%20Module%20Series.jpg_x000a_"/>
    <x v="3"/>
    <x v="34"/>
    <x v="21"/>
    <x v="0"/>
    <x v="44"/>
    <x v="1"/>
    <s v="29 MECHATRONICS"/>
    <x v="0"/>
    <x v="21"/>
  </r>
  <r>
    <n v="30"/>
    <x v="68"/>
    <x v="0"/>
    <x v="0"/>
    <n v="8.23"/>
    <s v="https://www.mouser.ca/images/dfrobot/images/SEN0114_SPL.jpg_x000a_"/>
    <x v="3"/>
    <x v="35"/>
    <x v="18"/>
    <x v="0"/>
    <x v="45"/>
    <x v="1"/>
    <s v="30 MECHATRONICS"/>
    <x v="0"/>
    <x v="18"/>
  </r>
  <r>
    <n v="32"/>
    <x v="69"/>
    <x v="0"/>
    <x v="0"/>
    <n v="17.07"/>
    <s v="https://www.mouser.ca/images/adafruit/images/385_spl.jpg_x000a_"/>
    <x v="3"/>
    <x v="36"/>
    <x v="18"/>
    <x v="0"/>
    <x v="46"/>
    <x v="1"/>
    <s v="32 MECHATRONICS"/>
    <x v="0"/>
    <x v="18"/>
  </r>
  <r>
    <n v="33"/>
    <x v="70"/>
    <x v="0"/>
    <x v="0"/>
    <n v="9.77"/>
    <s v="https://canada.newark.com/productimages/standard/en_GB/3408748-40.jpg_x000a_"/>
    <x v="3"/>
    <x v="37"/>
    <x v="18"/>
    <x v="0"/>
    <x v="47"/>
    <x v="1"/>
    <s v="33 MECHATRONICS"/>
    <x v="0"/>
    <x v="18"/>
  </r>
  <r>
    <n v="34"/>
    <x v="71"/>
    <x v="0"/>
    <x v="0"/>
    <n v="1.5"/>
    <s v="https://canada.newark.com/productimages/standard/en_US/5300348.jpg_x000a_"/>
    <x v="3"/>
    <x v="38"/>
    <x v="2"/>
    <x v="0"/>
    <x v="48"/>
    <x v="1"/>
    <s v="34 MECHATRONICS"/>
    <x v="0"/>
    <x v="2"/>
  </r>
  <r>
    <n v="35"/>
    <x v="72"/>
    <x v="0"/>
    <x v="0"/>
    <n v="34.22"/>
    <s v="https://www.mouser.ca/images/adafruit/images/4411_SPL.jpg_x000a_"/>
    <x v="4"/>
    <x v="39"/>
    <x v="0"/>
    <x v="0"/>
    <x v="49"/>
    <x v="1"/>
    <s v="35 MECHATRONICS"/>
    <x v="0"/>
    <x v="0"/>
  </r>
  <r>
    <n v="36"/>
    <x v="73"/>
    <x v="0"/>
    <x v="0"/>
    <n v="66.36"/>
    <s v="https://www.mouser.ca/images/sparkfun/images/rob-13656_SPL.jpg_x000a_"/>
    <x v="4"/>
    <x v="40"/>
    <x v="0"/>
    <x v="0"/>
    <x v="50"/>
    <x v="1"/>
    <s v="36 MECHATRONICS"/>
    <x v="0"/>
    <x v="0"/>
  </r>
  <r>
    <n v="37"/>
    <x v="74"/>
    <x v="0"/>
    <x v="0"/>
    <n v="30.02"/>
    <s v="https://www.mouser.ca/images/adafruit/images/2479_spl.jpg_x000a_"/>
    <x v="6"/>
    <x v="41"/>
    <x v="20"/>
    <x v="0"/>
    <x v="51"/>
    <x v="1"/>
    <s v="37 MECHATRONICS"/>
    <x v="0"/>
    <x v="20"/>
  </r>
  <r>
    <n v="38"/>
    <x v="75"/>
    <x v="0"/>
    <x v="0"/>
    <n v="8.44"/>
    <s v="https://www.mouser.ca/images/linxtechnologies/images/ANT-W63RPC1-series_DSL.JPG_x000a_"/>
    <x v="6"/>
    <x v="42"/>
    <x v="18"/>
    <x v="0"/>
    <x v="52"/>
    <x v="1"/>
    <s v="38 MECHATRONICS"/>
    <x v="0"/>
    <x v="18"/>
  </r>
  <r>
    <n v="39"/>
    <x v="76"/>
    <x v="0"/>
    <x v="0"/>
    <n v="3.48"/>
    <s v="https://media.digikey.com/Photos/Seeed%20Technology%20Ltd/MFG_321010008.jpg_x000a_"/>
    <x v="0"/>
    <x v="9"/>
    <x v="22"/>
    <x v="0"/>
    <x v="53"/>
    <x v="1"/>
    <s v="39 MECHATRONICS"/>
    <x v="0"/>
    <x v="22"/>
  </r>
  <r>
    <n v="46"/>
    <x v="77"/>
    <x v="0"/>
    <x v="0"/>
    <n v="6.49"/>
    <s v="https://abra-electronics.com/images/detailed/85/372-ADA__91861.jpg_x000a_"/>
    <x v="3"/>
    <x v="43"/>
    <x v="23"/>
    <x v="0"/>
    <x v="54"/>
    <x v="1"/>
    <s v="46 MECHATRONICS"/>
    <x v="0"/>
    <x v="23"/>
  </r>
  <r>
    <n v="47"/>
    <x v="78"/>
    <x v="0"/>
    <x v="0"/>
    <n v="3.31"/>
    <s v="https://media.digikey.com/Photos/Adafruit%20Industries%20LLC/MFG_4667.jpg_x000a_"/>
    <x v="3"/>
    <x v="44"/>
    <x v="24"/>
    <x v="0"/>
    <x v="55"/>
    <x v="1"/>
    <s v="47 MECHATRONICS"/>
    <x v="0"/>
    <x v="24"/>
  </r>
  <r>
    <n v="48"/>
    <x v="79"/>
    <x v="0"/>
    <x v="0"/>
    <n v="17.98"/>
    <s v="https://www.ato.com/content/images/thumbs/0002448_nema-17-bipolar-stepper-motor-28v-168a-2-phase-4-wires_550.jpeg_x000a_"/>
    <x v="4"/>
    <x v="45"/>
    <x v="1"/>
    <x v="0"/>
    <x v="56"/>
    <x v="1"/>
    <s v="48 MECHATRONICS"/>
    <x v="0"/>
    <x v="1"/>
  </r>
  <r>
    <n v="49"/>
    <x v="80"/>
    <x v="0"/>
    <x v="0"/>
    <n v="30.91"/>
    <s v="https://www.robotshop.com/media/files/images2/6v-dc-motor-65kg-cm-100rpm-encoder-descimage.jpg_x000a_"/>
    <x v="4"/>
    <x v="46"/>
    <x v="2"/>
    <x v="0"/>
    <x v="57"/>
    <x v="1"/>
    <s v="49 MECHATRONICS"/>
    <x v="0"/>
    <x v="2"/>
  </r>
  <r>
    <n v="50"/>
    <x v="81"/>
    <x v="0"/>
    <x v="0"/>
    <n v="18.2"/>
    <s v="https://dfimg.dfrobot.com/store/data/FIT0485/FIT0485.jpg?imageView2/1/w/564/h/376_x000a_"/>
    <x v="4"/>
    <x v="47"/>
    <x v="0"/>
    <x v="0"/>
    <x v="58"/>
    <x v="1"/>
    <s v="50 MECHATRONICS"/>
    <x v="0"/>
    <x v="0"/>
  </r>
  <r>
    <n v="51"/>
    <x v="82"/>
    <x v="0"/>
    <x v="0"/>
    <n v="3.18"/>
    <s v="https://cdn.shopify.com/s/files/1/0915/1182/products/MhiOZTxSVaM1i4WcEZVS_MD-L298N-800x800_2048x.jpg?v=1596141889_x000a_"/>
    <x v="4"/>
    <x v="48"/>
    <x v="1"/>
    <x v="0"/>
    <x v="59"/>
    <x v="1"/>
    <s v="51 MECHATRONICS"/>
    <x v="0"/>
    <x v="1"/>
  </r>
  <r>
    <n v="52"/>
    <x v="83"/>
    <x v="0"/>
    <x v="0"/>
    <n v="33.39"/>
    <s v="https://www.robotshop.com/media/catalog/product/cache/image/1350x/9df78eab33525d08d6e5fb8d27136e95/a/r/arduino-uno-r3-usb-microcontroller-6.png_x000a_"/>
    <x v="5"/>
    <x v="49"/>
    <x v="16"/>
    <x v="0"/>
    <x v="60"/>
    <x v="1"/>
    <s v="52 MECHATRONICS"/>
    <x v="0"/>
    <x v="15"/>
  </r>
  <r>
    <n v="53"/>
    <x v="84"/>
    <x v="0"/>
    <x v="0"/>
    <n v="0.22"/>
    <s v="https://media.digikey.com/photos/Omron%20Elect%20Photos/B3F-1020.jpg_x000a_"/>
    <x v="2"/>
    <x v="50"/>
    <x v="25"/>
    <x v="0"/>
    <x v="61"/>
    <x v="1"/>
    <s v="53 MECHATRONICS"/>
    <x v="0"/>
    <x v="25"/>
  </r>
  <r>
    <n v="54"/>
    <x v="85"/>
    <x v="0"/>
    <x v="0"/>
    <n v="20.420000000000002"/>
    <s v="https://abra-electronics.com/images/detailed/152/JGA25-370-6V100-E_1ius-t6_prnl-67_gnh1-cc_jrqc-jc_ai2g-ck_asae-up_12yl-bp_rzxu-vo_vcwf-9s_h4tq-7v_usye-8e_usb7-xl_vkvy-1j_cc49-3p_7ir0-cp_ux0l-kb.jpg_x000a_"/>
    <x v="4"/>
    <x v="9"/>
    <x v="2"/>
    <x v="0"/>
    <x v="62"/>
    <x v="1"/>
    <s v="54 MECHATRONICS"/>
    <x v="0"/>
    <x v="2"/>
  </r>
  <r>
    <n v="55"/>
    <x v="86"/>
    <x v="0"/>
    <x v="0"/>
    <n v="14.83"/>
    <s v="https://imgaz3.staticbg.com/thumb/large/oaupload/banggood/images/F8/91/b18cf8e6-eece-434c-b4a5-dcac38fe26af.jpg_x000a_"/>
    <x v="4"/>
    <x v="51"/>
    <x v="2"/>
    <x v="0"/>
    <x v="63"/>
    <x v="1"/>
    <s v="55 MECHATRONICS"/>
    <x v="0"/>
    <x v="2"/>
  </r>
  <r>
    <n v="63"/>
    <x v="87"/>
    <x v="0"/>
    <x v="0"/>
    <n v="1.63"/>
    <s v="https://www.mouser.ca/images/sparkfun/lrg/prt-10811_SPL.jpg_x000a_DC Barrel Jack Adapter - Breadboard Compatible"/>
    <x v="0"/>
    <x v="52"/>
    <x v="1"/>
    <x v="0"/>
    <x v="64"/>
    <x v="1"/>
    <s v="63 MECHATRONICS"/>
    <x v="0"/>
    <x v="1"/>
  </r>
  <r>
    <n v="64"/>
    <x v="88"/>
    <x v="0"/>
    <x v="0"/>
    <n v="5.9"/>
    <s v="https://www.mouser.ca/images/gravitech/lrg/BB-TERM3.jpg_x000a_3-Position Terminal Block Breakout"/>
    <x v="0"/>
    <x v="53"/>
    <x v="26"/>
    <x v="0"/>
    <x v="4"/>
    <x v="1"/>
    <s v="64 MECHATRONICS"/>
    <x v="0"/>
    <x v="26"/>
  </r>
  <r>
    <n v="66"/>
    <x v="89"/>
    <x v="0"/>
    <x v="0"/>
    <n v="99"/>
    <m/>
    <x v="4"/>
    <x v="9"/>
    <x v="27"/>
    <x v="0"/>
    <x v="65"/>
    <x v="1"/>
    <s v="66 MECHATRONICS"/>
    <x v="0"/>
    <x v="8"/>
  </r>
  <r>
    <n v="67"/>
    <x v="90"/>
    <x v="0"/>
    <x v="0"/>
    <n v="2.8"/>
    <s v="https://media.digikey.com/Photos/CIT%20Relay%20and%20Switch/MFG_ANT23SECQE.jpg_x000a_"/>
    <x v="2"/>
    <x v="54"/>
    <x v="28"/>
    <x v="0"/>
    <x v="66"/>
    <x v="1"/>
    <s v="67 MECHATRONICS"/>
    <x v="0"/>
    <x v="27"/>
  </r>
  <r>
    <n v="68"/>
    <x v="91"/>
    <x v="0"/>
    <x v="0"/>
    <n v="0.91"/>
    <s v="https://media.digikey.com/Photos/Wurth%20Electronics%20Photos/971500324.jpg_x000a_"/>
    <x v="7"/>
    <x v="55"/>
    <x v="8"/>
    <x v="0"/>
    <x v="67"/>
    <x v="1"/>
    <s v="68 MECHATRONICS"/>
    <x v="0"/>
    <x v="8"/>
  </r>
  <r>
    <n v="69"/>
    <x v="92"/>
    <x v="0"/>
    <x v="0"/>
    <n v="0.55000000000000004"/>
    <s v="https://media.digikey.com/Photos/Wurth%20Electronics%20Photos/971250244.jpg_x000a_"/>
    <x v="7"/>
    <x v="56"/>
    <x v="8"/>
    <x v="0"/>
    <x v="68"/>
    <x v="1"/>
    <s v="69 MECHATRONICS"/>
    <x v="0"/>
    <x v="8"/>
  </r>
  <r>
    <n v="70"/>
    <x v="93"/>
    <x v="0"/>
    <x v="0"/>
    <n v="0.62"/>
    <s v="https://media.digikey.com/photos/Keystone%20Elect%20Photos/24437.JPG_x000a_"/>
    <x v="7"/>
    <x v="57"/>
    <x v="8"/>
    <x v="0"/>
    <x v="69"/>
    <x v="1"/>
    <s v="70 MECHATRONICS"/>
    <x v="0"/>
    <x v="8"/>
  </r>
  <r>
    <n v="71"/>
    <x v="94"/>
    <x v="0"/>
    <x v="0"/>
    <n v="0.32"/>
    <s v="https://media.digikey.com/Photos/Wurth%20Electronics%20Photos/971100354.JPG_x000a_"/>
    <x v="7"/>
    <x v="58"/>
    <x v="8"/>
    <x v="0"/>
    <x v="70"/>
    <x v="1"/>
    <s v="71 MECHATRONICS"/>
    <x v="0"/>
    <x v="8"/>
  </r>
  <r>
    <n v="72"/>
    <x v="95"/>
    <x v="0"/>
    <x v="0"/>
    <n v="0.33"/>
    <s v="https://media.digikey.com/Photos/Wurth%20Electronics%20Photos/971080324.JPG_x000a_"/>
    <x v="7"/>
    <x v="58"/>
    <x v="8"/>
    <x v="0"/>
    <x v="71"/>
    <x v="1"/>
    <s v="72 MECHATRONICS"/>
    <x v="0"/>
    <x v="8"/>
  </r>
  <r>
    <n v="74"/>
    <x v="96"/>
    <x v="0"/>
    <x v="0"/>
    <n v="0.7"/>
    <s v="https://www.mouser.ca/images/vishay/images/do204ac.jpg_x000a_"/>
    <x v="2"/>
    <x v="59"/>
    <x v="9"/>
    <x v="0"/>
    <x v="72"/>
    <x v="1"/>
    <s v="74 MECHATRONICS"/>
    <x v="0"/>
    <x v="8"/>
  </r>
  <r>
    <n v="76"/>
    <x v="97"/>
    <x v="0"/>
    <x v="0"/>
    <n v="1.62"/>
    <s v="https://www.jameco.com/Jameco/Products/MakeImag/209234.jpg_x000a_"/>
    <x v="2"/>
    <x v="60"/>
    <x v="19"/>
    <x v="0"/>
    <x v="73"/>
    <x v="1"/>
    <s v="76 MECHATRONICS"/>
    <x v="0"/>
    <x v="8"/>
  </r>
  <r>
    <n v="77"/>
    <x v="98"/>
    <x v="0"/>
    <x v="0"/>
    <n v="0.12"/>
    <s v="https://m.media-amazon.com/images/I/31vWVRnV1kL._SX342_.jpg_x000a_"/>
    <x v="2"/>
    <x v="61"/>
    <x v="8"/>
    <x v="0"/>
    <x v="74"/>
    <x v="1"/>
    <s v="77 MECHATRONICS"/>
    <x v="0"/>
    <x v="8"/>
  </r>
  <r>
    <n v="90"/>
    <x v="99"/>
    <x v="0"/>
    <x v="0"/>
    <n v="0.45"/>
    <s v="https://ae01.alicdn.com/kf/HTB1lP_VGFXXXXajXVXXq6xXFXXXz/122158055/HTB1lP_VGFXXXXajXVXXq6xXFXXXz.jpg_x000a_"/>
    <x v="0"/>
    <x v="9"/>
    <x v="8"/>
    <x v="0"/>
    <x v="75"/>
    <x v="1"/>
    <s v="90 MECHATRONICS"/>
    <x v="0"/>
    <x v="8"/>
  </r>
  <r>
    <n v="91"/>
    <x v="100"/>
    <x v="0"/>
    <x v="0"/>
    <n v="0.83"/>
    <s v="https://ae01.alicdn.com/kf/HTB1dCH5MXXXXXbYXFXXq6xXFXXXG/10Ssets-Micro-JST-1-25-6-Pin-Male-Female-Connector-plug-150mm-Wires-Cables.jpg_x000a_"/>
    <x v="0"/>
    <x v="9"/>
    <x v="8"/>
    <x v="0"/>
    <x v="76"/>
    <x v="1"/>
    <s v="91 MECHATRONICS"/>
    <x v="0"/>
    <x v="8"/>
  </r>
  <r>
    <n v="92"/>
    <x v="101"/>
    <x v="0"/>
    <x v="0"/>
    <n v="0.8"/>
    <s v="https://www.diyelectronics.co.za/store/6841-thickbox_default/dupont-cable-ff-70cm-4pin.jpg_x000a_"/>
    <x v="0"/>
    <x v="9"/>
    <x v="8"/>
    <x v="0"/>
    <x v="77"/>
    <x v="1"/>
    <s v="92 MECHATRONICS"/>
    <x v="0"/>
    <x v="8"/>
  </r>
  <r>
    <n v="93"/>
    <x v="102"/>
    <x v="0"/>
    <x v="0"/>
    <n v="0.45"/>
    <s v="https://sc04.alicdn.com/kf/HTB1UUItbhrI8KJjy0Fpq6z5hVXam.jpg_x000a_"/>
    <x v="0"/>
    <x v="9"/>
    <x v="8"/>
    <x v="0"/>
    <x v="75"/>
    <x v="1"/>
    <s v="93 MECHATRONICS"/>
    <x v="0"/>
    <x v="8"/>
  </r>
  <r>
    <n v="96"/>
    <x v="103"/>
    <x v="0"/>
    <x v="0"/>
    <m/>
    <s v="https://i5.walmartimages.com/asr/931f35fc-29ad-4a47-a596-d53df37a2376_1.875d61834c287161613f4b4fb496a246.jpeg?odnHeight=2000&amp;odnWidth=2000&amp;odnBg=ffffff_x000a_"/>
    <x v="0"/>
    <x v="9"/>
    <x v="8"/>
    <x v="0"/>
    <x v="78"/>
    <x v="1"/>
    <s v="96 MECHATRONICS"/>
    <x v="0"/>
    <x v="8"/>
  </r>
  <r>
    <n v="97"/>
    <x v="104"/>
    <x v="0"/>
    <x v="0"/>
    <n v="1.45"/>
    <s v="https://secomms.com.au/wp-content/uploads/2016/12/tp004-310x310.jpg_x000a_"/>
    <x v="0"/>
    <x v="9"/>
    <x v="8"/>
    <x v="0"/>
    <x v="79"/>
    <x v="1"/>
    <s v="97 MECHATRONICS"/>
    <x v="0"/>
    <x v="8"/>
  </r>
  <r>
    <n v="98"/>
    <x v="105"/>
    <x v="0"/>
    <x v="0"/>
    <n v="3.28"/>
    <s v="https://www.muellerelectric.com/images/products/533/BU-P3925-2.jpg_x000a_"/>
    <x v="0"/>
    <x v="9"/>
    <x v="8"/>
    <x v="0"/>
    <x v="80"/>
    <x v="1"/>
    <s v="98 MECHATRONICS"/>
    <x v="0"/>
    <x v="8"/>
  </r>
  <r>
    <n v="99"/>
    <x v="106"/>
    <x v="0"/>
    <x v="0"/>
    <n v="1.6"/>
    <s v="https://www.robotshop.com/media/catalog/product/cache/image/1350x/9df78eab33525d08d6e5fb8d27136e95/r/e/replicator-2-2x-drive-gear-set-screw_1.jpg_x000a_"/>
    <x v="7"/>
    <x v="9"/>
    <x v="8"/>
    <x v="0"/>
    <x v="81"/>
    <x v="1"/>
    <s v="99 MECHATRONICS"/>
    <x v="0"/>
    <x v="8"/>
  </r>
  <r>
    <n v="100"/>
    <x v="107"/>
    <x v="0"/>
    <x v="0"/>
    <n v="1.91"/>
    <s v="https://ae01.alicdn.com/kf/HTB1QPSiQpXXXXazaXXXq6xXFXXXw/111015576/HTB1QPSiQpXXXXazaXXXq6xXFXXXw.jpg_x000a_"/>
    <x v="7"/>
    <x v="9"/>
    <x v="8"/>
    <x v="0"/>
    <x v="82"/>
    <x v="1"/>
    <s v="100 MECHATRONICS"/>
    <x v="0"/>
    <x v="8"/>
  </r>
  <r>
    <n v="101"/>
    <x v="108"/>
    <x v="0"/>
    <x v="0"/>
    <n v="19.22"/>
    <s v="https://cdn-global-hk.hobbyking.com/media/catalog/product/cache/1/image/660x415/17f82f742ffe127f42dca9de82fb58b1/legacy/catalog/51191.jpg_x000a_"/>
    <x v="1"/>
    <x v="62"/>
    <x v="8"/>
    <x v="0"/>
    <x v="83"/>
    <x v="1"/>
    <s v="101 MECHATRONICS"/>
    <x v="0"/>
    <x v="8"/>
  </r>
  <r>
    <n v="105"/>
    <x v="109"/>
    <x v="0"/>
    <x v="0"/>
    <n v="3.29"/>
    <s v="https://res.cloudinary.com/webstore/image/fetch/w_450,,c_limit,,c_fit,,f_auto,,e_trim/http%3A%2F%2F103.104.149.71%2Fuk4872789G03.jpg_x000a_"/>
    <x v="2"/>
    <x v="63"/>
    <x v="8"/>
    <x v="0"/>
    <x v="84"/>
    <x v="1"/>
    <s v="105 MECHATRONICS"/>
    <x v="0"/>
    <x v="8"/>
  </r>
  <r>
    <n v="106"/>
    <x v="110"/>
    <x v="0"/>
    <x v="0"/>
    <n v="3.29"/>
    <s v="https://res.cloudinary.com/webstore/image/fetch/w_450,,c_limit,,c_fit,,f_auto,,e_trim/http%3A%2F%2F103.104.149.71%2Fuk4872789G03.jpg_x000a_"/>
    <x v="2"/>
    <x v="63"/>
    <x v="8"/>
    <x v="0"/>
    <x v="84"/>
    <x v="1"/>
    <s v="106 MECHATRONICS"/>
    <x v="0"/>
    <x v="8"/>
  </r>
  <r>
    <n v="107"/>
    <x v="111"/>
    <x v="0"/>
    <x v="0"/>
    <n v="2.65"/>
    <s v="https://i.ebayimg.com/images/g/nckAAOSwzXxaJmyQ/s-l500.jpg_x000a_"/>
    <x v="7"/>
    <x v="9"/>
    <x v="8"/>
    <x v="0"/>
    <x v="85"/>
    <x v="1"/>
    <s v="107 MECHATRONICS"/>
    <x v="0"/>
    <x v="8"/>
  </r>
  <r>
    <n v="108"/>
    <x v="112"/>
    <x v="0"/>
    <x v="0"/>
    <n v="2.29"/>
    <s v="https://m.media-amazon.com/images/I/61RO4oqYWyL._AC_SY450_.jpg_x000a_"/>
    <x v="4"/>
    <x v="9"/>
    <x v="8"/>
    <x v="0"/>
    <x v="86"/>
    <x v="1"/>
    <s v="108 MECHATRONICS"/>
    <x v="0"/>
    <x v="8"/>
  </r>
  <r>
    <n v="109"/>
    <x v="113"/>
    <x v="0"/>
    <x v="0"/>
    <n v="2.12"/>
    <s v="https://www.robotshop.com/media/catalog/product/cache/image/1350x/9df78eab33525d08d6e5fb8d27136e95/p/o/pololu-wheel-60-8mm-black-pair.jpg_x000a_"/>
    <x v="4"/>
    <x v="9"/>
    <x v="8"/>
    <x v="0"/>
    <x v="87"/>
    <x v="1"/>
    <s v="109 MECHATRONICS"/>
    <x v="0"/>
    <x v="8"/>
  </r>
  <r>
    <n v="110"/>
    <x v="114"/>
    <x v="0"/>
    <x v="0"/>
    <n v="71.040000000000006"/>
    <s v="https://www.robotshop.com/media/catalog/product/cache/image/1350x/9df78eab33525d08d6e5fb8d27136e95/4/-/4-mecanum-hd-wheel-set-2-left-2-right.jpg_x000a_"/>
    <x v="4"/>
    <x v="9"/>
    <x v="8"/>
    <x v="0"/>
    <x v="88"/>
    <x v="1"/>
    <s v="110 MECHATRONICS"/>
    <x v="0"/>
    <x v="8"/>
  </r>
  <r>
    <n v="114"/>
    <x v="115"/>
    <x v="0"/>
    <x v="0"/>
    <n v="10.62"/>
    <s v="https://www.robotshop.com/media/catalog/product/cache/image/1350x/9df78eab33525d08d6e5fb8d27136e95/p/o/pololu-8-35v-2a-single-bipolar-stepper-motor-driver-a4988-no-header-pins.jpg_x000a_"/>
    <x v="4"/>
    <x v="9"/>
    <x v="2"/>
    <x v="0"/>
    <x v="89"/>
    <x v="1"/>
    <s v="114 MECHATRONICS"/>
    <x v="0"/>
    <x v="8"/>
  </r>
  <r>
    <n v="115"/>
    <x v="116"/>
    <x v="0"/>
    <x v="0"/>
    <n v="11.31"/>
    <s v="https://www.robotshop.com/media/catalog/product/cache/image/1350x/9df78eab33525d08d6e5fb8d27136e95/m/i/microsd-adapter-arduino-1_1.jpg_x000a_"/>
    <x v="6"/>
    <x v="64"/>
    <x v="29"/>
    <x v="0"/>
    <x v="90"/>
    <x v="1"/>
    <s v="115 MECHATRONICS"/>
    <x v="0"/>
    <x v="28"/>
  </r>
  <r>
    <n v="117"/>
    <x v="117"/>
    <x v="0"/>
    <x v="0"/>
    <n v="1.33"/>
    <s v="https://www.robotdigg.com/crab/image/2018/07/25/af05c6a718db8c26c5248fa69613c58c-300-300.jpeg_x000a_"/>
    <x v="4"/>
    <x v="65"/>
    <x v="16"/>
    <x v="0"/>
    <x v="91"/>
    <x v="1"/>
    <s v="117 MECHATRONICS"/>
    <x v="0"/>
    <x v="8"/>
  </r>
  <r>
    <n v="118"/>
    <x v="118"/>
    <x v="0"/>
    <x v="0"/>
    <n v="25.99"/>
    <s v="https://www.robotshop.com/media/catalog/product/cache/image/1350x/9df78eab33525d08d6e5fb8d27136e95/l/7/l76b-gnss-module-raspberry-pi-pico-gps-bdsqzss-support.jpg_x000a_"/>
    <x v="6"/>
    <x v="66"/>
    <x v="20"/>
    <x v="0"/>
    <x v="92"/>
    <x v="1"/>
    <s v="118 MECHATRONICS"/>
    <x v="0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75DB-753D-4542-B7F3-12C5ABB22834}" name="PivotMaterials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fieldListSortAscending="1">
  <location ref="H3:L94" firstHeaderRow="1" firstDataRow="1" firstDataCol="5"/>
  <pivotFields count="14">
    <pivotField axis="axisRow" compact="0" outline="0" showAll="0" defaultSubtotal="0">
      <items count="88">
        <item x="3"/>
        <item x="2"/>
        <item x="6"/>
        <item x="8"/>
        <item x="7"/>
        <item x="45"/>
        <item x="9"/>
        <item x="11"/>
        <item x="10"/>
        <item x="5"/>
        <item x="4"/>
        <item x="35"/>
        <item x="36"/>
        <item x="37"/>
        <item x="58"/>
        <item x="31"/>
        <item x="32"/>
        <item x="38"/>
        <item x="87"/>
        <item x="77"/>
        <item x="85"/>
        <item x="76"/>
        <item x="83"/>
        <item x="81"/>
        <item x="79"/>
        <item x="78"/>
        <item x="82"/>
        <item x="80"/>
        <item x="86"/>
        <item x="84"/>
        <item x="40"/>
        <item x="73"/>
        <item x="69"/>
        <item x="65"/>
        <item x="63"/>
        <item x="75"/>
        <item x="74"/>
        <item x="64"/>
        <item x="71"/>
        <item x="67"/>
        <item x="66"/>
        <item x="70"/>
        <item x="68"/>
        <item x="72"/>
        <item x="39"/>
        <item x="13"/>
        <item x="23"/>
        <item x="21"/>
        <item x="0"/>
        <item x="12"/>
        <item x="26"/>
        <item x="18"/>
        <item x="25"/>
        <item x="57"/>
        <item x="48"/>
        <item x="49"/>
        <item x="47"/>
        <item x="41"/>
        <item x="42"/>
        <item x="52"/>
        <item x="51"/>
        <item x="50"/>
        <item x="33"/>
        <item x="34"/>
        <item x="28"/>
        <item x="15"/>
        <item x="27"/>
        <item x="17"/>
        <item x="61"/>
        <item x="46"/>
        <item x="22"/>
        <item x="29"/>
        <item x="1"/>
        <item x="19"/>
        <item x="20"/>
        <item x="44"/>
        <item x="43"/>
        <item x="24"/>
        <item x="60"/>
        <item x="56"/>
        <item x="54"/>
        <item x="55"/>
        <item x="59"/>
        <item x="30"/>
        <item x="14"/>
        <item x="53"/>
        <item x="16"/>
        <item x="62"/>
      </items>
    </pivotField>
    <pivotField name="Category" axis="axisRow" compact="0" outline="0" showAll="0" defaultSubtotal="0">
      <items count="17">
        <item x="2"/>
        <item x="8"/>
        <item x="6"/>
        <item x="0"/>
        <item x="11"/>
        <item x="5"/>
        <item x="12"/>
        <item x="10"/>
        <item x="14"/>
        <item x="7"/>
        <item x="4"/>
        <item x="1"/>
        <item x="16"/>
        <item x="3"/>
        <item x="9"/>
        <item x="13"/>
        <item x="15"/>
      </items>
    </pivotField>
    <pivotField axis="axisRow" compact="0" outline="0" showAll="0" defaultSubtotal="0">
      <items count="74">
        <item x="40"/>
        <item x="64"/>
        <item x="65"/>
        <item x="54"/>
        <item x="42"/>
        <item x="55"/>
        <item x="66"/>
        <item x="56"/>
        <item x="57"/>
        <item x="67"/>
        <item x="51"/>
        <item x="58"/>
        <item x="68"/>
        <item x="28"/>
        <item x="69"/>
        <item x="70"/>
        <item x="61"/>
        <item x="59"/>
        <item x="16"/>
        <item x="10"/>
        <item x="29"/>
        <item x="47"/>
        <item x="71"/>
        <item x="25"/>
        <item x="48"/>
        <item x="72"/>
        <item x="49"/>
        <item x="12"/>
        <item x="38"/>
        <item x="73"/>
        <item x="18"/>
        <item x="26"/>
        <item x="50"/>
        <item x="60"/>
        <item x="17"/>
        <item x="30"/>
        <item x="27"/>
        <item x="31"/>
        <item x="32"/>
        <item x="1"/>
        <item x="14"/>
        <item x="9"/>
        <item x="43"/>
        <item x="15"/>
        <item x="13"/>
        <item x="53"/>
        <item x="62"/>
        <item x="44"/>
        <item x="0"/>
        <item x="8"/>
        <item x="63"/>
        <item x="20"/>
        <item x="24"/>
        <item x="45"/>
        <item x="22"/>
        <item x="36"/>
        <item x="21"/>
        <item x="23"/>
        <item x="33"/>
        <item x="41"/>
        <item x="11"/>
        <item x="4"/>
        <item x="46"/>
        <item x="52"/>
        <item x="34"/>
        <item x="7"/>
        <item x="19"/>
        <item x="5"/>
        <item x="37"/>
        <item x="2"/>
        <item x="39"/>
        <item x="3"/>
        <item x="6"/>
        <item x="35"/>
      </items>
    </pivotField>
    <pivotField compact="0" outline="0" showAll="0" defaultSubtotal="0"/>
    <pivotField compact="0" outline="0" showAll="0" defaultSubtotal="0"/>
    <pivotField axis="axisRow" compact="0" outline="0" subtotalTop="0" showAll="0" defaultSubtotal="0">
      <items count="15">
        <item x="11"/>
        <item x="2"/>
        <item x="1"/>
        <item x="10"/>
        <item x="0"/>
        <item x="3"/>
        <item x="14"/>
        <item x="4"/>
        <item x="9"/>
        <item x="6"/>
        <item x="5"/>
        <item x="13"/>
        <item x="7"/>
        <item x="8"/>
        <item x="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1"/>
    <field x="5"/>
    <field x="2"/>
    <field x="10"/>
  </rowFields>
  <rowItems count="91">
    <i>
      <x/>
      <x/>
      <x v="4"/>
      <x v="71"/>
      <x/>
    </i>
    <i>
      <x v="1"/>
      <x/>
      <x v="4"/>
      <x v="69"/>
      <x/>
    </i>
    <i>
      <x v="2"/>
      <x/>
      <x v="4"/>
      <x v="61"/>
      <x/>
    </i>
    <i>
      <x v="3"/>
      <x/>
      <x v="4"/>
      <x v="72"/>
      <x/>
    </i>
    <i>
      <x v="4"/>
      <x/>
      <x v="4"/>
      <x v="67"/>
      <x/>
    </i>
    <i>
      <x v="5"/>
      <x/>
      <x v="4"/>
      <x v="70"/>
      <x/>
    </i>
    <i>
      <x v="6"/>
      <x/>
      <x v="4"/>
      <x v="65"/>
      <x/>
    </i>
    <i>
      <x v="7"/>
      <x/>
      <x v="4"/>
      <x v="71"/>
      <x/>
    </i>
    <i>
      <x v="8"/>
      <x/>
      <x v="4"/>
      <x v="69"/>
      <x/>
    </i>
    <i>
      <x v="9"/>
      <x/>
      <x v="4"/>
      <x v="71"/>
      <x/>
    </i>
    <i>
      <x v="10"/>
      <x/>
      <x v="4"/>
      <x v="69"/>
      <x/>
    </i>
    <i>
      <x v="11"/>
      <x v="1"/>
      <x v="3"/>
      <x v="38"/>
      <x/>
    </i>
    <i>
      <x v="12"/>
      <x v="1"/>
      <x v="3"/>
      <x v="58"/>
      <x/>
    </i>
    <i>
      <x v="13"/>
      <x v="1"/>
      <x v="3"/>
      <x v="64"/>
      <x/>
    </i>
    <i>
      <x v="14"/>
      <x v="2"/>
      <x v="8"/>
      <x v="13"/>
      <x/>
    </i>
    <i r="2">
      <x v="12"/>
      <x v="32"/>
      <x/>
    </i>
    <i>
      <x v="15"/>
      <x v="2"/>
      <x v="8"/>
      <x v="13"/>
      <x/>
    </i>
    <i r="2">
      <x v="12"/>
      <x v="31"/>
      <x/>
    </i>
    <i>
      <x v="16"/>
      <x v="2"/>
      <x v="8"/>
      <x v="20"/>
      <x/>
    </i>
    <i r="2">
      <x v="13"/>
      <x v="36"/>
      <x/>
    </i>
    <i>
      <x v="17"/>
      <x v="14"/>
      <x v="1"/>
      <x v="73"/>
      <x/>
    </i>
    <i>
      <x v="18"/>
      <x v="14"/>
      <x v="2"/>
      <x v="29"/>
      <x/>
    </i>
    <i>
      <x v="19"/>
      <x v="14"/>
      <x v="2"/>
      <x v="1"/>
      <x/>
    </i>
    <i>
      <x v="20"/>
      <x v="14"/>
      <x v="2"/>
      <x v="22"/>
      <x/>
    </i>
    <i>
      <x v="21"/>
      <x v="14"/>
      <x v="2"/>
      <x v="1"/>
      <x/>
    </i>
    <i>
      <x v="22"/>
      <x v="14"/>
      <x v="2"/>
      <x v="9"/>
      <x/>
    </i>
    <i>
      <x v="23"/>
      <x v="14"/>
      <x v="2"/>
      <x v="12"/>
      <x/>
    </i>
    <i>
      <x v="24"/>
      <x v="14"/>
      <x v="2"/>
      <x v="6"/>
      <x/>
    </i>
    <i>
      <x v="25"/>
      <x v="14"/>
      <x v="2"/>
      <x v="2"/>
      <x/>
    </i>
    <i>
      <x v="26"/>
      <x v="14"/>
      <x v="2"/>
      <x v="14"/>
      <x/>
    </i>
    <i>
      <x v="27"/>
      <x v="14"/>
      <x v="2"/>
      <x v="9"/>
      <x/>
    </i>
    <i>
      <x v="28"/>
      <x v="14"/>
      <x v="2"/>
      <x v="25"/>
      <x/>
    </i>
    <i>
      <x v="29"/>
      <x v="14"/>
      <x v="2"/>
      <x v="15"/>
      <x/>
    </i>
    <i>
      <x v="30"/>
      <x v="14"/>
      <x v="1"/>
      <x v="73"/>
      <x/>
    </i>
    <i>
      <x v="31"/>
      <x v="7"/>
      <x v="1"/>
      <x v="40"/>
      <x/>
    </i>
    <i>
      <x v="32"/>
      <x v="7"/>
      <x v="1"/>
      <x v="17"/>
      <x/>
    </i>
    <i>
      <x v="33"/>
      <x v="7"/>
      <x v="1"/>
      <x v="7"/>
      <x/>
    </i>
    <i>
      <x v="34"/>
      <x v="7"/>
      <x v="1"/>
      <x v="3"/>
      <x/>
    </i>
    <i>
      <x v="35"/>
      <x v="7"/>
      <x v="1"/>
      <x v="50"/>
      <x/>
    </i>
    <i>
      <x v="36"/>
      <x v="7"/>
      <x v="1"/>
      <x v="46"/>
      <x/>
    </i>
    <i>
      <x v="37"/>
      <x v="7"/>
      <x v="1"/>
      <x v="5"/>
      <x/>
    </i>
    <i>
      <x v="38"/>
      <x v="7"/>
      <x v="1"/>
      <x v="33"/>
      <x/>
    </i>
    <i>
      <x v="39"/>
      <x v="7"/>
      <x v="1"/>
      <x v="11"/>
      <x/>
    </i>
    <i>
      <x v="40"/>
      <x v="7"/>
      <x v="1"/>
      <x v="8"/>
      <x/>
    </i>
    <i>
      <x v="41"/>
      <x v="7"/>
      <x v="1"/>
      <x v="24"/>
      <x/>
    </i>
    <i>
      <x v="42"/>
      <x v="7"/>
      <x v="1"/>
      <x v="13"/>
      <x/>
    </i>
    <i>
      <x v="43"/>
      <x v="7"/>
      <x v="1"/>
      <x v="16"/>
      <x/>
    </i>
    <i>
      <x v="44"/>
      <x v="7"/>
      <x v="1"/>
      <x v="73"/>
      <x/>
    </i>
    <i>
      <x v="45"/>
      <x v="3"/>
      <x v="2"/>
      <x v="41"/>
      <x/>
    </i>
    <i>
      <x v="46"/>
      <x v="3"/>
      <x v="4"/>
      <x v="66"/>
      <x/>
    </i>
    <i>
      <x v="47"/>
      <x v="3"/>
      <x v="2"/>
      <x v="34"/>
      <x/>
    </i>
    <i>
      <x v="48"/>
      <x v="3"/>
      <x v="4"/>
      <x v="48"/>
      <x/>
    </i>
    <i>
      <x v="49"/>
      <x v="3"/>
      <x v="2"/>
      <x v="49"/>
      <x/>
    </i>
    <i>
      <x v="50"/>
      <x v="5"/>
      <x v="10"/>
      <x v="54"/>
      <x/>
    </i>
    <i>
      <x v="51"/>
      <x v="5"/>
      <x v="4"/>
      <x v="40"/>
      <x/>
    </i>
    <i>
      <x v="52"/>
      <x v="5"/>
      <x v="7"/>
      <x v="56"/>
      <x/>
    </i>
    <i>
      <x v="53"/>
      <x v="5"/>
      <x v="11"/>
      <x v="44"/>
      <x/>
    </i>
    <i>
      <x v="54"/>
      <x v="5"/>
      <x v="14"/>
      <x v="4"/>
      <x/>
    </i>
    <i>
      <x v="55"/>
      <x v="15"/>
      <x v="2"/>
      <x v="23"/>
      <x/>
    </i>
    <i>
      <x v="56"/>
      <x v="6"/>
      <x v="7"/>
      <x v="59"/>
      <x/>
    </i>
    <i>
      <x v="57"/>
      <x v="10"/>
      <x v="7"/>
      <x v="55"/>
      <x/>
    </i>
    <i>
      <x v="58"/>
      <x v="10"/>
      <x v="7"/>
      <x v="68"/>
      <x/>
    </i>
    <i>
      <x v="59"/>
      <x v="8"/>
      <x v="2"/>
      <x v="53"/>
      <x/>
    </i>
    <i>
      <x v="60"/>
      <x v="8"/>
      <x v="2"/>
      <x v="47"/>
      <x/>
    </i>
    <i>
      <x v="61"/>
      <x v="8"/>
      <x v="2"/>
      <x v="42"/>
      <x/>
    </i>
    <i>
      <x v="62"/>
      <x v="9"/>
      <x v="2"/>
      <x v="35"/>
      <x/>
    </i>
    <i>
      <x v="63"/>
      <x v="9"/>
      <x v="2"/>
      <x v="37"/>
      <x/>
    </i>
    <i>
      <x v="64"/>
      <x v="10"/>
      <x v="9"/>
      <x v="52"/>
      <x/>
    </i>
    <i>
      <x v="65"/>
      <x v="10"/>
      <x v="5"/>
      <x v="60"/>
      <x/>
    </i>
    <i>
      <x v="66"/>
      <x v="10"/>
      <x v="4"/>
      <x v="57"/>
      <x/>
    </i>
    <i>
      <x v="67"/>
      <x v="5"/>
      <x v="4"/>
      <x v="44"/>
      <x/>
    </i>
    <i>
      <x v="68"/>
      <x v="4"/>
      <x v="12"/>
      <x v="63"/>
      <x/>
    </i>
    <i>
      <x v="69"/>
      <x v="4"/>
      <x/>
      <x/>
      <x/>
    </i>
    <i>
      <x v="70"/>
      <x v="11"/>
      <x v="2"/>
      <x v="30"/>
      <x/>
    </i>
    <i>
      <x v="71"/>
      <x v="11"/>
      <x v="2"/>
      <x v="23"/>
      <x/>
    </i>
    <i>
      <x v="72"/>
      <x v="11"/>
      <x v="4"/>
      <x v="39"/>
      <x/>
    </i>
    <i>
      <x v="73"/>
      <x v="5"/>
      <x v="4"/>
      <x v="43"/>
      <x/>
    </i>
    <i>
      <x v="74"/>
      <x v="5"/>
      <x v="4"/>
      <x v="18"/>
      <x/>
    </i>
    <i>
      <x v="75"/>
      <x v="4"/>
      <x v="2"/>
      <x v="28"/>
      <x/>
    </i>
    <i>
      <x v="76"/>
      <x v="4"/>
      <x v="2"/>
      <x v="27"/>
      <x/>
    </i>
    <i>
      <x v="77"/>
      <x v="10"/>
      <x v="4"/>
      <x v="51"/>
      <x/>
    </i>
    <i>
      <x v="78"/>
      <x v="4"/>
      <x v="6"/>
      <x v="52"/>
      <x/>
    </i>
    <i>
      <x v="79"/>
      <x v="12"/>
      <x v="1"/>
      <x v="26"/>
      <x/>
    </i>
    <i>
      <x v="80"/>
      <x v="12"/>
      <x v="1"/>
      <x v="21"/>
      <x/>
    </i>
    <i>
      <x v="81"/>
      <x v="12"/>
      <x v="1"/>
      <x v="24"/>
      <x/>
    </i>
    <i>
      <x v="82"/>
      <x v="13"/>
      <x v="1"/>
      <x v="10"/>
      <x/>
    </i>
    <i>
      <x v="83"/>
      <x v="13"/>
      <x v="1"/>
      <x v="19"/>
      <x/>
    </i>
    <i>
      <x v="84"/>
      <x v="13"/>
      <x v="1"/>
      <x v="19"/>
      <x/>
    </i>
    <i>
      <x v="85"/>
      <x v="16"/>
      <x v="2"/>
      <x v="62"/>
      <x/>
    </i>
    <i>
      <x v="86"/>
      <x v="10"/>
      <x v="2"/>
      <x v="27"/>
      <x/>
    </i>
    <i>
      <x v="87"/>
      <x v="10"/>
      <x v="2"/>
      <x v="45"/>
      <x/>
    </i>
  </rowItems>
  <colItems count="1">
    <i/>
  </colItems>
  <formats count="10">
    <format dxfId="22">
      <pivotArea type="all" dataOnly="0" outline="0" fieldPosition="0"/>
    </format>
    <format dxfId="21">
      <pivotArea field="0" type="button" dataOnly="0" labelOnly="1" outline="0" axis="axisRow" fieldPosition="0"/>
    </format>
    <format dxfId="20">
      <pivotArea field="1" type="button" dataOnly="0" labelOnly="1" outline="0" axis="axisRow" fieldPosition="1"/>
    </format>
    <format dxfId="19">
      <pivotArea field="5" type="button" dataOnly="0" labelOnly="1" outline="0" axis="axisRow" fieldPosition="2"/>
    </format>
    <format dxfId="18">
      <pivotArea field="2" type="button" dataOnly="0" labelOnly="1" outline="0" axis="axisRow" fieldPosition="3"/>
    </format>
    <format dxfId="17">
      <pivotArea dataOnly="0" labelOnly="1" outline="0" fieldPosition="0">
        <references count="1">
          <reference field="0" count="0"/>
        </references>
      </pivotArea>
    </format>
    <format dxfId="16">
      <pivotArea dataOnly="0" labelOnly="1" outline="0" fieldPosition="0">
        <references count="2">
          <reference field="0" count="1" selected="0">
            <x v="4"/>
          </reference>
          <reference field="1" count="1">
            <x v="0"/>
          </reference>
        </references>
      </pivotArea>
    </format>
    <format dxfId="15">
      <pivotArea dataOnly="0" labelOnly="1" outline="0" fieldPosition="0">
        <references count="3">
          <reference field="0" count="1" selected="0">
            <x v="4"/>
          </reference>
          <reference field="1" count="1" selected="0">
            <x v="0"/>
          </reference>
          <reference field="5" count="1">
            <x v="4"/>
          </reference>
        </references>
      </pivotArea>
    </format>
    <format dxfId="14">
      <pivotArea dataOnly="0" labelOnly="1" outline="0" fieldPosition="0">
        <references count="4">
          <reference field="0" count="1" selected="0">
            <x v="4"/>
          </reference>
          <reference field="1" count="1" selected="0">
            <x v="0"/>
          </reference>
          <reference field="2" count="1">
            <x v="67"/>
          </reference>
          <reference field="5" count="1" selected="0">
            <x v="4"/>
          </reference>
        </references>
      </pivotArea>
    </format>
    <format dxfId="13">
      <pivotArea dataOnly="0" labelOnly="1" outline="0" fieldPosition="0">
        <references count="4">
          <reference field="0" count="1" selected="0">
            <x v="6"/>
          </reference>
          <reference field="1" count="1" selected="0">
            <x v="0"/>
          </reference>
          <reference field="2" count="1">
            <x v="65"/>
          </reference>
          <reference field="5" count="1" selected="0">
            <x v="4"/>
          </reference>
        </references>
      </pivotArea>
    </format>
  </formats>
  <pivotTableStyleInfo name="PivotStyleLight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6B9D14-D72E-4B40-9F9A-4DF530BF0240}" name="PivotMech" cacheId="2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 fieldListSortAscending="1">
  <location ref="A3:F122" firstHeaderRow="1" firstDataRow="1" firstDataCol="6"/>
  <pivotFields count="15">
    <pivotField compact="0" outline="0" subtotalTop="0" showAll="0" defaultSubtotal="0"/>
    <pivotField axis="axisRow" compact="0" outline="0" subtotalTop="0" showAll="0" defaultSubtotal="0">
      <items count="120">
        <item x="2"/>
        <item x="3"/>
        <item x="15"/>
        <item x="20"/>
        <item x="13"/>
        <item x="14"/>
        <item x="19"/>
        <item x="82"/>
        <item x="88"/>
        <item x="53"/>
        <item x="52"/>
        <item x="51"/>
        <item x="74"/>
        <item x="11"/>
        <item x="61"/>
        <item x="62"/>
        <item x="83"/>
        <item x="55"/>
        <item x="54"/>
        <item x="39"/>
        <item x="87"/>
        <item x="36"/>
        <item x="85"/>
        <item x="80"/>
        <item x="37"/>
        <item x="109"/>
        <item x="110"/>
        <item x="69"/>
        <item x="10"/>
        <item x="98"/>
        <item x="96"/>
        <item x="64"/>
        <item x="101"/>
        <item x="102"/>
        <item x="28"/>
        <item x="31"/>
        <item x="24"/>
        <item x="25"/>
        <item x="26"/>
        <item x="27"/>
        <item x="29"/>
        <item x="30"/>
        <item x="34"/>
        <item x="35"/>
        <item x="38"/>
        <item x="43"/>
        <item x="32"/>
        <item x="33"/>
        <item x="68"/>
        <item x="117"/>
        <item x="95"/>
        <item x="94"/>
        <item x="93"/>
        <item x="91"/>
        <item x="92"/>
        <item x="70"/>
        <item x="99"/>
        <item x="100"/>
        <item x="103"/>
        <item x="17"/>
        <item x="16"/>
        <item x="18"/>
        <item x="12"/>
        <item x="59"/>
        <item x="114"/>
        <item x="86"/>
        <item x="81"/>
        <item x="116"/>
        <item x="72"/>
        <item x="97"/>
        <item x="111"/>
        <item x="5"/>
        <item x="71"/>
        <item x="21"/>
        <item x="4"/>
        <item x="78"/>
        <item x="105"/>
        <item x="44"/>
        <item x="40"/>
        <item x="104"/>
        <item x="67"/>
        <item x="84"/>
        <item x="7"/>
        <item x="58"/>
        <item x="9"/>
        <item x="60"/>
        <item x="66"/>
        <item x="89"/>
        <item x="0"/>
        <item x="1"/>
        <item x="115"/>
        <item x="79"/>
        <item x="73"/>
        <item x="77"/>
        <item x="106"/>
        <item x="107"/>
        <item x="90"/>
        <item x="57"/>
        <item x="41"/>
        <item x="8"/>
        <item x="108"/>
        <item x="76"/>
        <item x="63"/>
        <item x="56"/>
        <item x="22"/>
        <item x="6"/>
        <item x="42"/>
        <item x="23"/>
        <item x="65"/>
        <item x="112"/>
        <item x="113"/>
        <item x="75"/>
        <item x="118"/>
        <item x="45"/>
        <item x="46"/>
        <item x="47"/>
        <item x="48"/>
        <item x="49"/>
        <item x="50"/>
        <item m="1" x="119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8">
        <item x="6"/>
        <item x="2"/>
        <item x="0"/>
        <item x="7"/>
        <item x="5"/>
        <item x="4"/>
        <item x="1"/>
        <item x="3"/>
      </items>
    </pivotField>
    <pivotField axis="axisRow" compact="0" outline="0" subtotalTop="0" showAll="0" defaultSubtotal="0">
      <items count="67">
        <item x="2"/>
        <item x="48"/>
        <item x="44"/>
        <item x="64"/>
        <item x="27"/>
        <item x="62"/>
        <item x="12"/>
        <item x="43"/>
        <item x="30"/>
        <item x="46"/>
        <item x="32"/>
        <item x="31"/>
        <item x="50"/>
        <item x="51"/>
        <item x="34"/>
        <item x="28"/>
        <item x="45"/>
        <item x="35"/>
        <item x="39"/>
        <item x="65"/>
        <item x="3"/>
        <item x="23"/>
        <item x="54"/>
        <item x="21"/>
        <item x="47"/>
        <item x="49"/>
        <item x="22"/>
        <item x="38"/>
        <item x="5"/>
        <item x="37"/>
        <item x="25"/>
        <item x="24"/>
        <item x="57"/>
        <item x="20"/>
        <item x="42"/>
        <item x="29"/>
        <item x="17"/>
        <item x="6"/>
        <item x="59"/>
        <item x="53"/>
        <item x="11"/>
        <item x="0"/>
        <item x="1"/>
        <item x="36"/>
        <item x="41"/>
        <item x="52"/>
        <item x="40"/>
        <item x="14"/>
        <item x="16"/>
        <item x="8"/>
        <item x="63"/>
        <item x="18"/>
        <item x="33"/>
        <item x="26"/>
        <item x="15"/>
        <item x="7"/>
        <item x="61"/>
        <item x="10"/>
        <item x="60"/>
        <item x="4"/>
        <item x="13"/>
        <item x="58"/>
        <item x="56"/>
        <item x="55"/>
        <item x="9"/>
        <item x="66"/>
        <item x="19"/>
      </items>
    </pivotField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93">
        <item x="78"/>
        <item x="74"/>
        <item x="21"/>
        <item x="61"/>
        <item x="22"/>
        <item x="70"/>
        <item x="71"/>
        <item x="16"/>
        <item x="75"/>
        <item x="68"/>
        <item x="18"/>
        <item x="69"/>
        <item x="72"/>
        <item x="77"/>
        <item x="76"/>
        <item x="12"/>
        <item x="67"/>
        <item x="9"/>
        <item x="8"/>
        <item x="91"/>
        <item x="79"/>
        <item x="48"/>
        <item x="81"/>
        <item x="73"/>
        <item x="64"/>
        <item x="2"/>
        <item x="11"/>
        <item x="35"/>
        <item x="82"/>
        <item x="19"/>
        <item x="87"/>
        <item x="17"/>
        <item x="29"/>
        <item x="86"/>
        <item x="33"/>
        <item x="34"/>
        <item x="85"/>
        <item x="66"/>
        <item x="59"/>
        <item x="80"/>
        <item x="84"/>
        <item x="55"/>
        <item x="53"/>
        <item x="30"/>
        <item x="20"/>
        <item x="36"/>
        <item x="26"/>
        <item x="13"/>
        <item x="4"/>
        <item x="31"/>
        <item x="3"/>
        <item x="14"/>
        <item x="24"/>
        <item x="54"/>
        <item x="37"/>
        <item x="40"/>
        <item x="15"/>
        <item x="23"/>
        <item x="45"/>
        <item x="52"/>
        <item x="47"/>
        <item x="5"/>
        <item x="32"/>
        <item x="7"/>
        <item x="89"/>
        <item x="10"/>
        <item x="90"/>
        <item x="41"/>
        <item x="25"/>
        <item x="0"/>
        <item x="63"/>
        <item x="42"/>
        <item x="46"/>
        <item x="56"/>
        <item x="58"/>
        <item x="83"/>
        <item x="62"/>
        <item x="28"/>
        <item x="1"/>
        <item x="6"/>
        <item x="51"/>
        <item x="57"/>
        <item x="60"/>
        <item x="49"/>
        <item x="43"/>
        <item x="39"/>
        <item x="44"/>
        <item x="38"/>
        <item x="50"/>
        <item x="88"/>
        <item x="65"/>
        <item x="92"/>
        <item x="27"/>
      </items>
    </pivotField>
    <pivotField axis="axisRow" compact="0" outline="0" subtotalTop="0" showAll="0" defaultSubtotal="0">
      <items count="2">
        <item x="0"/>
        <item x="1"/>
      </items>
    </pivotField>
    <pivotField compact="0" outline="0" subtotalTop="0" showAll="0" defaultSubtotal="0"/>
    <pivotField axis="axisRow" compact="0" outline="0" subtotalTop="0" showAll="0" defaultSubtotal="0">
      <items count="2">
        <item x="1"/>
        <item x="0"/>
      </items>
    </pivotField>
    <pivotField compact="0" outline="0" subtotalTop="0" showAll="0" defaultSubtotal="0"/>
  </pivotFields>
  <rowFields count="6">
    <field x="1"/>
    <field x="6"/>
    <field x="7"/>
    <field x="10"/>
    <field x="11"/>
    <field x="13"/>
  </rowFields>
  <rowItems count="119">
    <i>
      <x/>
      <x v="2"/>
      <x/>
      <x v="25"/>
      <x/>
      <x v="1"/>
    </i>
    <i>
      <x v="1"/>
      <x v="2"/>
      <x v="20"/>
      <x v="25"/>
      <x/>
      <x v="1"/>
    </i>
    <i>
      <x v="2"/>
      <x v="2"/>
      <x v="64"/>
      <x v="25"/>
      <x/>
      <x v="1"/>
    </i>
    <i>
      <x v="3"/>
      <x v="2"/>
      <x v="64"/>
      <x v="25"/>
      <x/>
      <x v="1"/>
    </i>
    <i>
      <x v="4"/>
      <x v="2"/>
      <x v="64"/>
      <x v="25"/>
      <x/>
      <x v="1"/>
    </i>
    <i>
      <x v="5"/>
      <x v="2"/>
      <x v="64"/>
      <x v="25"/>
      <x/>
      <x v="1"/>
    </i>
    <i>
      <x v="6"/>
      <x v="2"/>
      <x v="64"/>
      <x v="25"/>
      <x/>
      <x v="1"/>
    </i>
    <i>
      <x v="7"/>
      <x v="5"/>
      <x v="1"/>
      <x v="38"/>
      <x v="1"/>
      <x v="1"/>
    </i>
    <i>
      <x v="8"/>
      <x v="2"/>
      <x v="39"/>
      <x v="48"/>
      <x v="1"/>
      <x v="1"/>
    </i>
    <i>
      <x v="9"/>
      <x v="6"/>
      <x v="23"/>
      <x v="43"/>
      <x v="1"/>
      <x v="1"/>
    </i>
    <i>
      <x v="10"/>
      <x v="6"/>
      <x v="33"/>
      <x v="32"/>
      <x v="1"/>
      <x v="1"/>
    </i>
    <i>
      <x v="11"/>
      <x v="6"/>
      <x v="64"/>
      <x v="77"/>
      <x v="1"/>
      <x/>
    </i>
    <i>
      <x v="12"/>
      <x/>
      <x v="44"/>
      <x v="80"/>
      <x v="1"/>
      <x v="1"/>
    </i>
    <i>
      <x v="13"/>
      <x v="7"/>
      <x v="40"/>
      <x v="65"/>
      <x/>
      <x v="1"/>
    </i>
    <i>
      <x v="14"/>
      <x v="4"/>
      <x v="15"/>
      <x v="87"/>
      <x v="1"/>
      <x v="1"/>
    </i>
    <i>
      <x v="15"/>
      <x v="4"/>
      <x v="35"/>
      <x v="85"/>
      <x v="1"/>
      <x v="1"/>
    </i>
    <i>
      <x v="16"/>
      <x v="4"/>
      <x v="25"/>
      <x v="82"/>
      <x v="1"/>
      <x v="1"/>
    </i>
    <i>
      <x v="17"/>
      <x v="2"/>
      <x v="21"/>
      <x v="62"/>
      <x v="1"/>
      <x v="1"/>
    </i>
    <i>
      <x v="18"/>
      <x v="2"/>
      <x v="26"/>
      <x v="49"/>
      <x v="1"/>
      <x v="1"/>
    </i>
    <i>
      <x v="19"/>
      <x v="1"/>
      <x v="64"/>
      <x v="10"/>
      <x/>
      <x v="1"/>
    </i>
    <i>
      <x v="20"/>
      <x v="2"/>
      <x v="45"/>
      <x v="24"/>
      <x v="1"/>
      <x v="1"/>
    </i>
    <i>
      <x v="21"/>
      <x v="2"/>
      <x v="64"/>
      <x v="44"/>
      <x/>
      <x v="1"/>
    </i>
    <i>
      <x v="22"/>
      <x v="5"/>
      <x v="64"/>
      <x v="76"/>
      <x v="1"/>
      <x v="1"/>
    </i>
    <i>
      <x v="23"/>
      <x v="5"/>
      <x v="9"/>
      <x v="81"/>
      <x v="1"/>
      <x v="1"/>
    </i>
    <i>
      <x v="24"/>
      <x v="2"/>
      <x v="64"/>
      <x v="44"/>
      <x/>
      <x v="1"/>
    </i>
    <i>
      <x v="25"/>
      <x v="1"/>
      <x v="50"/>
      <x v="40"/>
      <x v="1"/>
      <x v="1"/>
    </i>
    <i>
      <x v="26"/>
      <x v="1"/>
      <x v="50"/>
      <x v="40"/>
      <x v="1"/>
      <x v="1"/>
    </i>
    <i>
      <x v="27"/>
      <x v="7"/>
      <x v="43"/>
      <x v="72"/>
      <x v="1"/>
      <x v="1"/>
    </i>
    <i>
      <x v="28"/>
      <x v="1"/>
      <x v="57"/>
      <x v="17"/>
      <x/>
      <x v="1"/>
    </i>
    <i>
      <x v="29"/>
      <x v="1"/>
      <x v="56"/>
      <x v="1"/>
      <x v="1"/>
      <x v="1"/>
    </i>
    <i>
      <x v="30"/>
      <x v="1"/>
      <x v="38"/>
      <x v="12"/>
      <x v="1"/>
      <x v="1"/>
    </i>
    <i>
      <x v="31"/>
      <x v="7"/>
      <x v="11"/>
      <x v="67"/>
      <x v="1"/>
      <x v="1"/>
    </i>
    <i>
      <x v="32"/>
      <x v="2"/>
      <x v="64"/>
      <x v="13"/>
      <x v="1"/>
      <x v="1"/>
    </i>
    <i>
      <x v="33"/>
      <x v="2"/>
      <x v="64"/>
      <x v="8"/>
      <x v="1"/>
      <x v="1"/>
    </i>
    <i>
      <x v="34"/>
      <x v="2"/>
      <x v="64"/>
      <x v="7"/>
      <x/>
      <x v="1"/>
    </i>
    <i>
      <x v="35"/>
      <x v="2"/>
      <x v="64"/>
      <x v="7"/>
      <x/>
      <x v="1"/>
    </i>
    <i>
      <x v="36"/>
      <x v="2"/>
      <x v="64"/>
      <x v="7"/>
      <x/>
      <x v="1"/>
    </i>
    <i>
      <x v="37"/>
      <x v="2"/>
      <x v="64"/>
      <x v="7"/>
      <x/>
      <x v="1"/>
    </i>
    <i>
      <x v="38"/>
      <x v="2"/>
      <x v="64"/>
      <x v="7"/>
      <x/>
      <x v="1"/>
    </i>
    <i>
      <x v="39"/>
      <x v="2"/>
      <x v="64"/>
      <x v="7"/>
      <x/>
      <x v="1"/>
    </i>
    <i>
      <x v="40"/>
      <x v="2"/>
      <x v="64"/>
      <x v="7"/>
      <x/>
      <x v="1"/>
    </i>
    <i>
      <x v="41"/>
      <x v="2"/>
      <x v="64"/>
      <x v="7"/>
      <x/>
      <x v="1"/>
    </i>
    <i>
      <x v="42"/>
      <x v="2"/>
      <x v="64"/>
      <x v="18"/>
      <x/>
      <x v="1"/>
    </i>
    <i>
      <x v="43"/>
      <x v="2"/>
      <x v="64"/>
      <x v="29"/>
      <x/>
      <x v="1"/>
    </i>
    <i>
      <x v="44"/>
      <x v="1"/>
      <x v="64"/>
      <x v="2"/>
      <x/>
      <x v="1"/>
    </i>
    <i>
      <x v="45"/>
      <x v="5"/>
      <x v="64"/>
      <x v="68"/>
      <x/>
      <x v="1"/>
    </i>
    <i>
      <x v="46"/>
      <x v="2"/>
      <x v="64"/>
      <x v="31"/>
      <x/>
      <x v="1"/>
    </i>
    <i>
      <x v="47"/>
      <x v="2"/>
      <x v="64"/>
      <x v="10"/>
      <x/>
      <x v="1"/>
    </i>
    <i>
      <x v="48"/>
      <x v="7"/>
      <x v="17"/>
      <x v="58"/>
      <x v="1"/>
      <x v="1"/>
    </i>
    <i>
      <x v="49"/>
      <x v="5"/>
      <x v="19"/>
      <x v="19"/>
      <x v="1"/>
      <x v="1"/>
    </i>
    <i>
      <x v="50"/>
      <x v="3"/>
      <x v="61"/>
      <x v="6"/>
      <x v="1"/>
      <x v="1"/>
    </i>
    <i>
      <x v="51"/>
      <x v="3"/>
      <x v="61"/>
      <x v="5"/>
      <x v="1"/>
      <x v="1"/>
    </i>
    <i>
      <x v="52"/>
      <x v="3"/>
      <x v="32"/>
      <x v="11"/>
      <x v="1"/>
      <x v="1"/>
    </i>
    <i>
      <x v="53"/>
      <x v="3"/>
      <x v="63"/>
      <x v="16"/>
      <x v="1"/>
      <x v="1"/>
    </i>
    <i>
      <x v="54"/>
      <x v="3"/>
      <x v="62"/>
      <x v="9"/>
      <x v="1"/>
      <x v="1"/>
    </i>
    <i>
      <x v="55"/>
      <x v="7"/>
      <x v="29"/>
      <x v="60"/>
      <x v="1"/>
      <x v="1"/>
    </i>
    <i>
      <x v="56"/>
      <x v="2"/>
      <x v="64"/>
      <x v="8"/>
      <x v="1"/>
      <x v="1"/>
    </i>
    <i>
      <x v="57"/>
      <x v="2"/>
      <x v="64"/>
      <x v="14"/>
      <x v="1"/>
      <x v="1"/>
    </i>
    <i>
      <x v="58"/>
      <x v="2"/>
      <x v="64"/>
      <x/>
      <x v="1"/>
      <x v="1"/>
    </i>
    <i>
      <x v="59"/>
      <x v="2"/>
      <x v="64"/>
      <x v="15"/>
      <x/>
      <x v="1"/>
    </i>
    <i>
      <x v="60"/>
      <x v="2"/>
      <x v="64"/>
      <x v="15"/>
      <x/>
      <x v="1"/>
    </i>
    <i>
      <x v="61"/>
      <x v="2"/>
      <x v="64"/>
      <x v="15"/>
      <x/>
      <x v="1"/>
    </i>
    <i>
      <x v="62"/>
      <x v="1"/>
      <x v="6"/>
      <x v="26"/>
      <x/>
      <x v="1"/>
    </i>
    <i>
      <x v="63"/>
      <x v="1"/>
      <x v="53"/>
      <x v="45"/>
      <x v="1"/>
      <x v="1"/>
    </i>
    <i>
      <x v="64"/>
      <x v="5"/>
      <x v="64"/>
      <x v="89"/>
      <x v="1"/>
      <x v="1"/>
    </i>
    <i>
      <x v="65"/>
      <x v="5"/>
      <x v="13"/>
      <x v="70"/>
      <x v="1"/>
      <x v="1"/>
    </i>
    <i>
      <x v="66"/>
      <x v="5"/>
      <x v="24"/>
      <x v="74"/>
      <x v="1"/>
      <x v="1"/>
    </i>
    <i>
      <x v="67"/>
      <x/>
      <x v="3"/>
      <x v="66"/>
      <x v="1"/>
      <x v="1"/>
    </i>
    <i>
      <x v="68"/>
      <x v="5"/>
      <x v="18"/>
      <x v="83"/>
      <x v="1"/>
      <x v="1"/>
    </i>
    <i>
      <x v="69"/>
      <x v="1"/>
      <x v="58"/>
      <x v="23"/>
      <x v="1"/>
      <x v="1"/>
    </i>
    <i>
      <x v="70"/>
      <x v="3"/>
      <x v="64"/>
      <x v="36"/>
      <x v="1"/>
      <x v="1"/>
    </i>
    <i>
      <x v="71"/>
      <x v="2"/>
      <x v="28"/>
      <x v="48"/>
      <x/>
      <x v="1"/>
    </i>
    <i>
      <x v="72"/>
      <x v="7"/>
      <x v="27"/>
      <x v="21"/>
      <x v="1"/>
      <x v="1"/>
    </i>
    <i>
      <x v="73"/>
      <x v="2"/>
      <x v="60"/>
      <x v="47"/>
      <x/>
      <x v="1"/>
    </i>
    <i>
      <x v="74"/>
      <x v="2"/>
      <x v="59"/>
      <x v="50"/>
      <x/>
      <x v="1"/>
    </i>
    <i>
      <x v="75"/>
      <x v="7"/>
      <x v="2"/>
      <x v="41"/>
      <x v="1"/>
      <x v="1"/>
    </i>
    <i>
      <x v="76"/>
      <x v="2"/>
      <x v="64"/>
      <x v="39"/>
      <x v="1"/>
      <x v="1"/>
    </i>
    <i>
      <x v="77"/>
      <x v="1"/>
      <x v="51"/>
      <x v="46"/>
      <x/>
      <x v="1"/>
    </i>
    <i>
      <x v="78"/>
      <x v="1"/>
      <x v="64"/>
      <x v="4"/>
      <x/>
      <x v="1"/>
    </i>
    <i>
      <x v="79"/>
      <x v="2"/>
      <x v="64"/>
      <x v="20"/>
      <x v="1"/>
      <x v="1"/>
    </i>
    <i>
      <x v="80"/>
      <x v="7"/>
      <x v="14"/>
      <x v="86"/>
      <x v="1"/>
      <x v="1"/>
    </i>
    <i>
      <x v="81"/>
      <x v="1"/>
      <x v="12"/>
      <x v="3"/>
      <x v="1"/>
      <x v="1"/>
    </i>
    <i>
      <x v="82"/>
      <x v="1"/>
      <x v="55"/>
      <x v="79"/>
      <x/>
      <x v="1"/>
    </i>
    <i>
      <x v="83"/>
      <x v="1"/>
      <x v="30"/>
      <x v="27"/>
      <x v="1"/>
      <x v="1"/>
    </i>
    <i>
      <x v="84"/>
      <x v="1"/>
      <x v="64"/>
      <x v="18"/>
      <x/>
      <x v="1"/>
    </i>
    <i>
      <x v="85"/>
      <x v="4"/>
      <x v="4"/>
      <x v="54"/>
      <x v="1"/>
      <x v="1"/>
    </i>
    <i>
      <x v="86"/>
      <x v="7"/>
      <x v="52"/>
      <x v="84"/>
      <x v="1"/>
      <x v="1"/>
    </i>
    <i>
      <x v="87"/>
      <x v="5"/>
      <x v="64"/>
      <x v="90"/>
      <x v="1"/>
      <x v="1"/>
    </i>
    <i>
      <x v="88"/>
      <x v="2"/>
      <x v="41"/>
      <x v="69"/>
      <x/>
      <x v="1"/>
    </i>
    <i>
      <x v="89"/>
      <x v="2"/>
      <x v="42"/>
      <x v="78"/>
      <x/>
      <x v="1"/>
    </i>
    <i>
      <x v="90"/>
      <x v="5"/>
      <x v="64"/>
      <x v="64"/>
      <x v="1"/>
      <x v="1"/>
    </i>
    <i>
      <x v="91"/>
      <x v="5"/>
      <x v="16"/>
      <x v="73"/>
      <x v="1"/>
      <x v="1"/>
    </i>
    <i>
      <x v="92"/>
      <x v="5"/>
      <x v="46"/>
      <x v="88"/>
      <x v="1"/>
      <x v="1"/>
    </i>
    <i>
      <x v="93"/>
      <x v="7"/>
      <x v="7"/>
      <x v="53"/>
      <x v="1"/>
      <x v="1"/>
    </i>
    <i>
      <x v="94"/>
      <x v="3"/>
      <x v="64"/>
      <x v="22"/>
      <x v="1"/>
      <x v="1"/>
    </i>
    <i>
      <x v="95"/>
      <x v="3"/>
      <x v="64"/>
      <x v="28"/>
      <x v="1"/>
      <x v="1"/>
    </i>
    <i>
      <x v="96"/>
      <x v="1"/>
      <x v="22"/>
      <x v="37"/>
      <x v="1"/>
      <x v="1"/>
    </i>
    <i>
      <x v="97"/>
      <x v="1"/>
      <x v="31"/>
      <x v="35"/>
      <x v="1"/>
      <x v="1"/>
    </i>
    <i>
      <x v="98"/>
      <x v="1"/>
      <x v="48"/>
      <x v="57"/>
      <x/>
      <x v="1"/>
    </i>
    <i>
      <x v="99"/>
      <x v="1"/>
      <x v="49"/>
      <x v="63"/>
      <x/>
      <x v="1"/>
    </i>
    <i>
      <x v="100"/>
      <x v="6"/>
      <x v="5"/>
      <x v="75"/>
      <x v="1"/>
      <x v="1"/>
    </i>
    <i>
      <x v="101"/>
      <x v="2"/>
      <x v="64"/>
      <x v="42"/>
      <x v="1"/>
      <x v="1"/>
    </i>
    <i>
      <x v="102"/>
      <x v="7"/>
      <x v="8"/>
      <x v="55"/>
      <x v="1"/>
      <x v="1"/>
    </i>
    <i>
      <x v="103"/>
      <x v="2"/>
      <x v="64"/>
      <x v="34"/>
      <x v="1"/>
      <x v="1"/>
    </i>
    <i>
      <x v="104"/>
      <x v="6"/>
      <x v="47"/>
      <x v="51"/>
      <x/>
      <x v="1"/>
    </i>
    <i>
      <x v="105"/>
      <x v="6"/>
      <x v="37"/>
      <x v="61"/>
      <x/>
      <x v="1"/>
    </i>
    <i>
      <x v="106"/>
      <x v="6"/>
      <x v="36"/>
      <x v="52"/>
      <x/>
      <x v="1"/>
    </i>
    <i>
      <x v="107"/>
      <x v="6"/>
      <x v="54"/>
      <x v="56"/>
      <x/>
      <x v="1"/>
    </i>
    <i>
      <x v="108"/>
      <x v="7"/>
      <x v="10"/>
      <x v="71"/>
      <x v="1"/>
      <x v="1"/>
    </i>
    <i>
      <x v="109"/>
      <x v="5"/>
      <x v="64"/>
      <x v="33"/>
      <x v="1"/>
      <x v="1"/>
    </i>
    <i>
      <x v="110"/>
      <x v="5"/>
      <x v="64"/>
      <x v="30"/>
      <x v="1"/>
      <x v="1"/>
    </i>
    <i>
      <x v="111"/>
      <x/>
      <x v="34"/>
      <x v="59"/>
      <x v="1"/>
      <x v="1"/>
    </i>
    <i>
      <x v="112"/>
      <x/>
      <x v="65"/>
      <x v="91"/>
      <x v="1"/>
      <x v="1"/>
    </i>
    <i>
      <x v="113"/>
      <x v="1"/>
      <x v="66"/>
      <x v="92"/>
      <x/>
      <x v="1"/>
    </i>
    <i>
      <x v="114"/>
      <x v="1"/>
      <x v="66"/>
      <x v="92"/>
      <x/>
      <x v="1"/>
    </i>
    <i>
      <x v="115"/>
      <x v="1"/>
      <x v="66"/>
      <x v="92"/>
      <x/>
      <x v="1"/>
    </i>
    <i>
      <x v="116"/>
      <x v="1"/>
      <x v="66"/>
      <x v="92"/>
      <x/>
      <x v="1"/>
    </i>
    <i>
      <x v="117"/>
      <x v="1"/>
      <x v="66"/>
      <x v="92"/>
      <x/>
      <x v="1"/>
    </i>
    <i>
      <x v="118"/>
      <x v="1"/>
      <x v="66"/>
      <x v="92"/>
      <x/>
      <x v="1"/>
    </i>
  </rowItems>
  <colItems count="1">
    <i/>
  </colItems>
  <formats count="22">
    <format dxfId="44">
      <pivotArea type="all" dataOnly="0" outline="0" fieldPosition="0"/>
    </format>
    <format dxfId="43">
      <pivotArea field="1" type="button" dataOnly="0" labelOnly="1" outline="0" axis="axisRow" fieldPosition="0"/>
    </format>
    <format dxfId="42">
      <pivotArea field="6" type="button" dataOnly="0" labelOnly="1" outline="0" axis="axisRow" fieldPosition="1"/>
    </format>
    <format dxfId="41">
      <pivotArea field="7" type="button" dataOnly="0" labelOnly="1" outline="0" axis="axisRow" fieldPosition="2"/>
    </format>
    <format dxfId="40">
      <pivotArea field="10" type="button" dataOnly="0" labelOnly="1" outline="0" axis="axisRow" fieldPosition="3"/>
    </format>
    <format dxfId="39">
      <pivotArea field="11" type="button" dataOnly="0" labelOnly="1" outline="0" axis="axisRow" fieldPosition="4"/>
    </format>
    <format dxfId="38">
      <pivotArea dataOnly="0" labelOnly="1" outline="0" fieldPosition="0">
        <references count="1">
          <reference field="1" count="0"/>
        </references>
      </pivotArea>
    </format>
    <format dxfId="37">
      <pivotArea dataOnly="0" labelOnly="1" outline="0" fieldPosition="0">
        <references count="2">
          <reference field="1" count="1" selected="0">
            <x v="5"/>
          </reference>
          <reference field="6" count="1">
            <x v="2"/>
          </reference>
        </references>
      </pivotArea>
    </format>
    <format dxfId="36">
      <pivotArea dataOnly="0" labelOnly="1" outline="0" fieldPosition="0">
        <references count="2">
          <reference field="1" count="1" selected="0">
            <x v="9"/>
          </reference>
          <reference field="6" count="1">
            <x v="6"/>
          </reference>
        </references>
      </pivotArea>
    </format>
    <format dxfId="35">
      <pivotArea dataOnly="0" labelOnly="1" outline="0" fieldPosition="0">
        <references count="2">
          <reference field="1" count="1" selected="0">
            <x v="14"/>
          </reference>
          <reference field="6" count="1">
            <x v="4"/>
          </reference>
        </references>
      </pivotArea>
    </format>
    <format dxfId="34">
      <pivotArea dataOnly="0" labelOnly="1" outline="0" fieldPosition="0">
        <references count="3">
          <reference field="1" count="1" selected="0">
            <x v="5"/>
          </reference>
          <reference field="6" count="1" selected="0">
            <x v="2"/>
          </reference>
          <reference field="7" count="1">
            <x v="64"/>
          </reference>
        </references>
      </pivotArea>
    </format>
    <format dxfId="33">
      <pivotArea dataOnly="0" labelOnly="1" outline="0" fieldPosition="0">
        <references count="3">
          <reference field="1" count="1" selected="0">
            <x v="9"/>
          </reference>
          <reference field="6" count="1" selected="0">
            <x v="6"/>
          </reference>
          <reference field="7" count="1">
            <x v="23"/>
          </reference>
        </references>
      </pivotArea>
    </format>
    <format dxfId="32">
      <pivotArea dataOnly="0" labelOnly="1" outline="0" fieldPosition="0">
        <references count="3">
          <reference field="1" count="1" selected="0">
            <x v="11"/>
          </reference>
          <reference field="6" count="1" selected="0">
            <x v="6"/>
          </reference>
          <reference field="7" count="1">
            <x v="64"/>
          </reference>
        </references>
      </pivotArea>
    </format>
    <format dxfId="31">
      <pivotArea dataOnly="0" labelOnly="1" outline="0" fieldPosition="0">
        <references count="3">
          <reference field="1" count="1" selected="0">
            <x v="14"/>
          </reference>
          <reference field="6" count="1" selected="0">
            <x v="4"/>
          </reference>
          <reference field="7" count="1">
            <x v="15"/>
          </reference>
        </references>
      </pivotArea>
    </format>
    <format dxfId="30">
      <pivotArea dataOnly="0" labelOnly="1" outline="0" fieldPosition="0">
        <references count="4">
          <reference field="1" count="1" selected="0">
            <x v="5"/>
          </reference>
          <reference field="6" count="1" selected="0">
            <x v="2"/>
          </reference>
          <reference field="7" count="1" selected="0">
            <x v="64"/>
          </reference>
          <reference field="10" count="1">
            <x v="25"/>
          </reference>
        </references>
      </pivotArea>
    </format>
    <format dxfId="29">
      <pivotArea dataOnly="0" labelOnly="1" outline="0" fieldPosition="0">
        <references count="4">
          <reference field="1" count="1" selected="0">
            <x v="9"/>
          </reference>
          <reference field="6" count="1" selected="0">
            <x v="6"/>
          </reference>
          <reference field="7" count="1" selected="0">
            <x v="23"/>
          </reference>
          <reference field="10" count="1">
            <x v="43"/>
          </reference>
        </references>
      </pivotArea>
    </format>
    <format dxfId="28">
      <pivotArea dataOnly="0" labelOnly="1" outline="0" fieldPosition="0">
        <references count="4">
          <reference field="1" count="1" selected="0">
            <x v="11"/>
          </reference>
          <reference field="6" count="1" selected="0">
            <x v="6"/>
          </reference>
          <reference field="7" count="1" selected="0">
            <x v="64"/>
          </reference>
          <reference field="10" count="1">
            <x v="77"/>
          </reference>
        </references>
      </pivotArea>
    </format>
    <format dxfId="27">
      <pivotArea dataOnly="0" labelOnly="1" outline="0" fieldPosition="0">
        <references count="4">
          <reference field="1" count="1" selected="0">
            <x v="14"/>
          </reference>
          <reference field="6" count="1" selected="0">
            <x v="4"/>
          </reference>
          <reference field="7" count="1" selected="0">
            <x v="15"/>
          </reference>
          <reference field="10" count="1">
            <x v="87"/>
          </reference>
        </references>
      </pivotArea>
    </format>
    <format dxfId="26">
      <pivotArea dataOnly="0" labelOnly="1" outline="0" fieldPosition="0">
        <references count="5">
          <reference field="1" count="1" selected="0">
            <x v="5"/>
          </reference>
          <reference field="6" count="1" selected="0">
            <x v="2"/>
          </reference>
          <reference field="7" count="1" selected="0">
            <x v="64"/>
          </reference>
          <reference field="10" count="1" selected="0">
            <x v="25"/>
          </reference>
          <reference field="11" count="1">
            <x v="0"/>
          </reference>
        </references>
      </pivotArea>
    </format>
    <format dxfId="25">
      <pivotArea dataOnly="0" labelOnly="1" outline="0" fieldPosition="0">
        <references count="5">
          <reference field="1" count="1" selected="0">
            <x v="9"/>
          </reference>
          <reference field="6" count="1" selected="0">
            <x v="6"/>
          </reference>
          <reference field="7" count="1" selected="0">
            <x v="23"/>
          </reference>
          <reference field="10" count="1" selected="0">
            <x v="43"/>
          </reference>
          <reference field="11" count="1">
            <x v="1"/>
          </reference>
        </references>
      </pivotArea>
    </format>
    <format dxfId="24">
      <pivotArea dataOnly="0" labelOnly="1" outline="0" fieldPosition="0">
        <references count="5">
          <reference field="1" count="1" selected="0">
            <x v="11"/>
          </reference>
          <reference field="6" count="1" selected="0">
            <x v="6"/>
          </reference>
          <reference field="7" count="1" selected="0">
            <x v="64"/>
          </reference>
          <reference field="10" count="1" selected="0">
            <x v="77"/>
          </reference>
          <reference field="11" count="1">
            <x v="1"/>
          </reference>
        </references>
      </pivotArea>
    </format>
    <format dxfId="23">
      <pivotArea dataOnly="0" labelOnly="1" outline="0" fieldPosition="0">
        <references count="5">
          <reference field="1" count="1" selected="0">
            <x v="14"/>
          </reference>
          <reference field="6" count="1" selected="0">
            <x v="4"/>
          </reference>
          <reference field="7" count="1" selected="0">
            <x v="15"/>
          </reference>
          <reference field="10" count="1" selected="0">
            <x v="87"/>
          </reference>
          <reference field="11" count="1">
            <x v="1"/>
          </reference>
        </references>
      </pivotArea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CDFFE2-C825-4739-ACA4-59E7BCA026DD}" name="PivotHardware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 fieldListSortAscending="1">
  <location ref="N3:R4" firstHeaderRow="1" firstDataRow="1" firstDataCol="5"/>
  <pivotFields count="17">
    <pivotField axis="axisRow" compact="0" outline="0" showAll="0" defaultSubtotal="0">
      <items count="93">
        <item h="1" x="69"/>
        <item h="1" x="70"/>
        <item h="1" x="79"/>
        <item h="1" x="76"/>
        <item h="1" x="75"/>
        <item h="1" x="65"/>
        <item h="1" x="64"/>
        <item h="1" x="62"/>
        <item h="1" x="55"/>
        <item h="1" x="66"/>
        <item h="1" x="54"/>
        <item h="1" x="63"/>
        <item h="1" x="81"/>
        <item h="1" x="72"/>
        <item h="1" x="61"/>
        <item h="1" x="60"/>
        <item h="1" x="53"/>
        <item h="1" x="50"/>
        <item h="1" x="49"/>
        <item h="1" x="47"/>
        <item h="1" x="48"/>
        <item h="1" x="35"/>
        <item h="1" x="34"/>
        <item h="1" x="33"/>
        <item h="1" x="36"/>
        <item h="1" x="83"/>
        <item h="1" x="68"/>
        <item h="1" x="80"/>
        <item h="1" x="74"/>
        <item h="1" x="78"/>
        <item h="1" x="77"/>
        <item h="1" x="56"/>
        <item h="1" x="57"/>
        <item h="1" x="58"/>
        <item h="1" x="59"/>
        <item h="1" x="82"/>
        <item h="1" x="28"/>
        <item h="1" x="27"/>
        <item h="1" x="25"/>
        <item h="1" x="26"/>
        <item h="1" x="29"/>
        <item h="1" x="37"/>
        <item h="1" x="41"/>
        <item h="1" x="39"/>
        <item h="1" x="38"/>
        <item h="1" x="40"/>
        <item h="1" x="31"/>
        <item h="1" x="30"/>
        <item h="1" x="87"/>
        <item h="1" x="32"/>
        <item h="1" x="88"/>
        <item h="1" x="45"/>
        <item h="1" x="44"/>
        <item h="1" x="42"/>
        <item h="1" x="43"/>
        <item h="1" x="4"/>
        <item h="1" x="0"/>
        <item h="1" x="1"/>
        <item h="1" x="2"/>
        <item h="1" x="3"/>
        <item h="1" x="8"/>
        <item h="1" x="7"/>
        <item h="1" x="73"/>
        <item h="1" x="52"/>
        <item h="1" x="22"/>
        <item h="1" x="24"/>
        <item h="1" x="23"/>
        <item h="1" x="84"/>
        <item h="1" x="85"/>
        <item h="1" x="86"/>
        <item h="1" x="89"/>
        <item h="1" x="14"/>
        <item h="1" x="15"/>
        <item h="1" x="16"/>
        <item h="1" x="17"/>
        <item h="1" x="18"/>
        <item h="1" x="19"/>
        <item h="1" x="11"/>
        <item h="1" x="12"/>
        <item h="1" x="13"/>
        <item h="1" x="91"/>
        <item h="1" x="46"/>
        <item h="1" x="90"/>
        <item h="1" x="20"/>
        <item h="1" x="21"/>
        <item h="1" x="5"/>
        <item h="1" x="10"/>
        <item h="1" x="9"/>
        <item h="1" x="51"/>
        <item h="1" x="71"/>
        <item h="1" x="67"/>
        <item h="1" x="6"/>
        <item x="92"/>
      </items>
    </pivotField>
    <pivotField axis="axisRow" compact="0" outline="0" showAll="0" defaultSubtotal="0">
      <items count="44">
        <item x="16"/>
        <item x="38"/>
        <item x="23"/>
        <item x="0"/>
        <item x="18"/>
        <item x="17"/>
        <item x="14"/>
        <item x="7"/>
        <item x="26"/>
        <item x="9"/>
        <item x="8"/>
        <item x="41"/>
        <item x="10"/>
        <item x="37"/>
        <item x="24"/>
        <item x="27"/>
        <item x="15"/>
        <item x="21"/>
        <item x="20"/>
        <item x="40"/>
        <item x="11"/>
        <item x="19"/>
        <item x="12"/>
        <item x="33"/>
        <item x="13"/>
        <item x="39"/>
        <item x="28"/>
        <item x="42"/>
        <item x="35"/>
        <item x="22"/>
        <item x="29"/>
        <item x="1"/>
        <item x="30"/>
        <item x="25"/>
        <item x="34"/>
        <item x="31"/>
        <item x="2"/>
        <item x="32"/>
        <item x="4"/>
        <item x="5"/>
        <item x="3"/>
        <item x="6"/>
        <item x="36"/>
        <item x="43"/>
      </items>
    </pivotField>
    <pivotField compact="0" outline="0" showAll="0" defaultSubtotal="0"/>
    <pivotField axis="axisRow" compact="0" outline="0" showAll="0" defaultSubtotal="0">
      <items count="67">
        <item x="29"/>
        <item x="50"/>
        <item x="57"/>
        <item x="28"/>
        <item x="8"/>
        <item x="19"/>
        <item x="61"/>
        <item x="4"/>
        <item x="6"/>
        <item x="63"/>
        <item x="0"/>
        <item x="13"/>
        <item x="14"/>
        <item x="59"/>
        <item x="58"/>
        <item x="55"/>
        <item x="56"/>
        <item x="46"/>
        <item x="15"/>
        <item x="9"/>
        <item x="16"/>
        <item x="47"/>
        <item x="65"/>
        <item x="1"/>
        <item x="62"/>
        <item x="27"/>
        <item x="60"/>
        <item x="17"/>
        <item x="31"/>
        <item x="32"/>
        <item x="33"/>
        <item x="43"/>
        <item x="53"/>
        <item x="51"/>
        <item x="37"/>
        <item x="40"/>
        <item x="35"/>
        <item x="41"/>
        <item x="34"/>
        <item x="49"/>
        <item x="42"/>
        <item x="54"/>
        <item x="36"/>
        <item x="52"/>
        <item x="26"/>
        <item x="18"/>
        <item x="5"/>
        <item x="48"/>
        <item x="64"/>
        <item x="2"/>
        <item x="22"/>
        <item x="21"/>
        <item x="25"/>
        <item x="10"/>
        <item x="11"/>
        <item x="3"/>
        <item x="12"/>
        <item x="66"/>
        <item x="38"/>
        <item x="44"/>
        <item x="45"/>
        <item x="39"/>
        <item x="20"/>
        <item x="24"/>
        <item x="30"/>
        <item x="23"/>
        <item x="7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"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0">
        <item x="0"/>
        <item x="7"/>
        <item x="3"/>
        <item x="1"/>
        <item x="4"/>
        <item x="8"/>
        <item x="6"/>
        <item x="5"/>
        <item x="9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13"/>
    <field x="3"/>
    <field x="1"/>
    <field x="6"/>
  </rowFields>
  <rowItems count="1">
    <i>
      <x v="92"/>
      <x v="9"/>
      <x v="66"/>
      <x v="43"/>
      <x/>
    </i>
  </rowItems>
  <colItems count="1">
    <i/>
  </colItems>
  <formats count="11">
    <format dxfId="55">
      <pivotArea type="all" dataOnly="0" outline="0" fieldPosition="0"/>
    </format>
    <format dxfId="54">
      <pivotArea field="0" type="button" dataOnly="0" labelOnly="1" outline="0" axis="axisRow" fieldPosition="0"/>
    </format>
    <format dxfId="53">
      <pivotArea field="13" type="button" dataOnly="0" labelOnly="1" outline="0" axis="axisRow" fieldPosition="1"/>
    </format>
    <format dxfId="52">
      <pivotArea field="3" type="button" dataOnly="0" labelOnly="1" outline="0" axis="axisRow" fieldPosition="2"/>
    </format>
    <format dxfId="51">
      <pivotArea field="1" type="button" dataOnly="0" labelOnly="1" outline="0" axis="axisRow" fieldPosition="3"/>
    </format>
    <format dxfId="50">
      <pivotArea dataOnly="0" labelOnly="1" outline="0" fieldPosition="0">
        <references count="1">
          <reference field="0" count="0"/>
        </references>
      </pivotArea>
    </format>
    <format dxfId="49">
      <pivotArea dataOnly="0" labelOnly="1" outline="0" fieldPosition="0">
        <references count="2">
          <reference field="0" count="1" selected="0">
            <x v="14"/>
          </reference>
          <reference field="13" count="1">
            <x v="7"/>
          </reference>
        </references>
      </pivotArea>
    </format>
    <format dxfId="48">
      <pivotArea dataOnly="0" labelOnly="1" outline="0" fieldPosition="0">
        <references count="3">
          <reference field="0" count="1" selected="0">
            <x v="14"/>
          </reference>
          <reference field="3" count="1">
            <x v="1"/>
          </reference>
          <reference field="13" count="1" selected="0">
            <x v="7"/>
          </reference>
        </references>
      </pivotArea>
    </format>
    <format dxfId="47">
      <pivotArea dataOnly="0" labelOnly="1" outline="0" fieldPosition="0">
        <references count="3">
          <reference field="0" count="1" selected="0">
            <x v="39"/>
          </reference>
          <reference field="3" count="1">
            <x v="62"/>
          </reference>
          <reference field="13" count="1" selected="0">
            <x v="7"/>
          </reference>
        </references>
      </pivotArea>
    </format>
    <format dxfId="46">
      <pivotArea dataOnly="0" labelOnly="1" outline="0" fieldPosition="0">
        <references count="4">
          <reference field="0" count="1" selected="0">
            <x v="14"/>
          </reference>
          <reference field="1" count="1">
            <x v="23"/>
          </reference>
          <reference field="3" count="1" selected="0">
            <x v="1"/>
          </reference>
          <reference field="13" count="1" selected="0">
            <x v="7"/>
          </reference>
        </references>
      </pivotArea>
    </format>
    <format dxfId="45">
      <pivotArea dataOnly="0" labelOnly="1" outline="0" fieldPosition="0">
        <references count="4">
          <reference field="0" count="1" selected="0">
            <x v="39"/>
          </reference>
          <reference field="1" count="1">
            <x v="5"/>
          </reference>
          <reference field="3" count="1" selected="0">
            <x v="62"/>
          </reference>
          <reference field="13" count="1" selected="0">
            <x v="7"/>
          </reference>
        </references>
      </pivotArea>
    </format>
  </formats>
  <pivotTableStyleInfo name="PivotStyleLight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8CD6D58-4BEF-4CE4-9B40-E32B3C7CBBCA}" name="PurchaseOrder" displayName="PurchaseOrder" ref="D6:I8" totalsRowShown="0" headerRowDxfId="12" dataDxfId="11">
  <tableColumns count="6">
    <tableColumn id="1" xr3:uid="{E4C7CB5C-978F-4A54-87A6-D7E63A3E0F32}" name="Description" dataDxfId="10"/>
    <tableColumn id="5" xr3:uid="{C374842F-0F68-46B6-AE8D-A5D1F5A337DE}" name="Specs/Category" dataDxfId="9"/>
    <tableColumn id="2" xr3:uid="{2AA3720C-9BD1-4290-9051-62B724EA7805}" name="Quantity" dataDxfId="8"/>
    <tableColumn id="3" xr3:uid="{3CD2CFA6-0EF1-4B10-9CCB-74FB7B339888}" name="Unit $" dataDxfId="7"/>
    <tableColumn id="6" xr3:uid="{A8E2349F-7264-4182-A782-BE8BAA18F483}" name="Terms" dataDxfId="6"/>
    <tableColumn id="4" xr3:uid="{86AFD58A-3C5E-4B80-9BFF-56A6D7B7CC17}" name="Subtotal" dataDxfId="5">
      <calculatedColumnFormula>PurchaseOrder[[#This Row],[Unit $]]*PurchaseOrder[[#This Row],[Quantity]]</calculatedColumnFormula>
    </tableColumn>
  </tableColumns>
  <tableStyleInfo name="TableStyleMedium20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R372"/>
  <sheetViews>
    <sheetView topLeftCell="J1" zoomScale="110" zoomScaleNormal="110" workbookViewId="0">
      <selection activeCell="Q4" sqref="Q4"/>
      <pivotSelection pane="bottomRight" showHeader="1" click="1" r:id="rId3">
        <pivotArea dataOnly="0" outline="0" fieldPosition="0">
          <references count="1">
            <reference field="1" count="0"/>
          </references>
        </pivotArea>
      </pivotSelection>
    </sheetView>
  </sheetViews>
  <sheetFormatPr defaultColWidth="9.140625" defaultRowHeight="15"/>
  <cols>
    <col min="1" max="1" width="52.42578125" style="1" customWidth="1"/>
    <col min="2" max="2" width="30.28515625" style="1" customWidth="1"/>
    <col min="3" max="3" width="65" style="1" customWidth="1"/>
    <col min="4" max="4" width="19.7109375" style="1" bestFit="1" customWidth="1"/>
    <col min="5" max="5" width="12.7109375" style="1" bestFit="1" customWidth="1"/>
    <col min="6" max="6" width="26" style="1" bestFit="1" customWidth="1"/>
    <col min="7" max="7" width="13.7109375" style="1" customWidth="1"/>
    <col min="8" max="8" width="55.28515625" style="1" customWidth="1"/>
    <col min="9" max="9" width="23.85546875" style="1" customWidth="1"/>
    <col min="10" max="10" width="20.28515625" style="1" customWidth="1"/>
    <col min="11" max="11" width="9.85546875" style="1" bestFit="1" customWidth="1"/>
    <col min="12" max="12" width="18" style="1" bestFit="1" customWidth="1"/>
    <col min="13" max="13" width="12.5703125" style="1" customWidth="1"/>
    <col min="14" max="14" width="39.42578125" style="1" customWidth="1"/>
    <col min="15" max="15" width="24.42578125" style="1" customWidth="1"/>
    <col min="16" max="16" width="14.7109375" style="1" customWidth="1"/>
    <col min="17" max="17" width="9.85546875" style="1" bestFit="1" customWidth="1"/>
    <col min="18" max="18" width="16.85546875" style="1" bestFit="1" customWidth="1"/>
    <col min="19" max="16384" width="9.140625" style="1"/>
  </cols>
  <sheetData>
    <row r="1" spans="1:18" ht="35.1" customHeight="1">
      <c r="A1" s="15"/>
      <c r="B1" s="15"/>
      <c r="C1" s="15"/>
      <c r="D1" s="15"/>
      <c r="E1" s="15"/>
      <c r="F1" s="12"/>
      <c r="H1" s="21" t="str" cm="1">
        <f t="array" ref="H1">IFERROR(INDEX(#REF!,SMALL(IF("*"&amp;#REF!&amp;"*"=#REF!,ROW(#REF!)- MIN(ROW(#REF!))+1,""), ROW()-2)),"")</f>
        <v/>
      </c>
      <c r="I1" s="21"/>
      <c r="J1" s="21"/>
      <c r="K1" s="21"/>
      <c r="L1" s="21"/>
      <c r="M1"/>
      <c r="N1" s="18"/>
      <c r="O1" s="18"/>
      <c r="P1" s="18"/>
      <c r="Q1" s="18"/>
      <c r="R1" s="18"/>
    </row>
    <row r="2" spans="1:18" ht="22.5">
      <c r="A2" s="16" t="s">
        <v>1</v>
      </c>
      <c r="B2" s="17"/>
      <c r="C2" s="17"/>
      <c r="D2" s="17"/>
      <c r="E2" s="17"/>
      <c r="F2" s="13"/>
      <c r="H2" s="22" t="s">
        <v>2</v>
      </c>
      <c r="I2" s="23"/>
      <c r="J2" s="23"/>
      <c r="K2" s="23"/>
      <c r="L2" s="23"/>
      <c r="N2" s="19" t="s">
        <v>3</v>
      </c>
      <c r="O2" s="20"/>
      <c r="P2" s="20"/>
      <c r="Q2" s="20"/>
      <c r="R2" s="20"/>
    </row>
    <row r="3" spans="1:18" ht="18.75">
      <c r="A3" s="9" t="s">
        <v>4</v>
      </c>
      <c r="B3" s="9" t="s">
        <v>5</v>
      </c>
      <c r="C3" s="9" t="s">
        <v>6</v>
      </c>
      <c r="D3" s="9" t="s">
        <v>7</v>
      </c>
      <c r="E3" s="9" t="s">
        <v>8</v>
      </c>
      <c r="F3" s="9" t="s">
        <v>149</v>
      </c>
      <c r="G3" s="2"/>
      <c r="H3" s="9" t="s">
        <v>4</v>
      </c>
      <c r="I3" s="9" t="s">
        <v>5</v>
      </c>
      <c r="J3" s="9" t="s">
        <v>9</v>
      </c>
      <c r="K3" s="9" t="s">
        <v>10</v>
      </c>
      <c r="L3" s="9" t="s">
        <v>149</v>
      </c>
      <c r="M3" s="9"/>
      <c r="N3" s="9" t="s">
        <v>4</v>
      </c>
      <c r="O3" s="9" t="s">
        <v>5</v>
      </c>
      <c r="P3" s="9" t="s">
        <v>11</v>
      </c>
      <c r="Q3" s="9" t="s">
        <v>10</v>
      </c>
      <c r="R3" s="9" t="s">
        <v>149</v>
      </c>
    </row>
    <row r="4" spans="1:18" ht="18.75">
      <c r="A4" s="10" t="s">
        <v>151</v>
      </c>
      <c r="B4" s="10" t="s">
        <v>152</v>
      </c>
      <c r="C4" s="10" t="s">
        <v>153</v>
      </c>
      <c r="D4" s="10">
        <v>0.33</v>
      </c>
      <c r="E4" s="10" t="s">
        <v>154</v>
      </c>
      <c r="F4" s="10" t="s">
        <v>16</v>
      </c>
      <c r="G4"/>
      <c r="H4" s="10" t="s">
        <v>12</v>
      </c>
      <c r="I4" s="10" t="s">
        <v>13</v>
      </c>
      <c r="J4" s="10" t="s">
        <v>14</v>
      </c>
      <c r="K4" s="10">
        <v>31.52</v>
      </c>
      <c r="L4" s="10" t="s">
        <v>16</v>
      </c>
      <c r="M4" s="10"/>
      <c r="N4" s="10" t="s">
        <v>148</v>
      </c>
      <c r="O4" s="10" t="s">
        <v>147</v>
      </c>
      <c r="P4" s="10" t="s">
        <v>16</v>
      </c>
      <c r="Q4" s="10">
        <v>9.42</v>
      </c>
      <c r="R4" s="10" t="s">
        <v>150</v>
      </c>
    </row>
    <row r="5" spans="1:18" ht="18.75">
      <c r="A5" s="10" t="s">
        <v>155</v>
      </c>
      <c r="B5" s="10" t="s">
        <v>152</v>
      </c>
      <c r="C5" s="10" t="s">
        <v>156</v>
      </c>
      <c r="D5" s="10">
        <v>0.33</v>
      </c>
      <c r="E5" s="10" t="s">
        <v>154</v>
      </c>
      <c r="F5" s="10" t="s">
        <v>16</v>
      </c>
      <c r="G5"/>
      <c r="H5" s="10" t="s">
        <v>15</v>
      </c>
      <c r="I5" s="10" t="s">
        <v>13</v>
      </c>
      <c r="J5" s="10" t="s">
        <v>14</v>
      </c>
      <c r="K5" s="10">
        <v>15.76</v>
      </c>
      <c r="L5" s="10" t="s">
        <v>16</v>
      </c>
      <c r="M5" s="11"/>
      <c r="N5"/>
      <c r="O5"/>
      <c r="P5"/>
      <c r="Q5"/>
      <c r="R5"/>
    </row>
    <row r="6" spans="1:18" ht="18.75">
      <c r="A6" s="10" t="s">
        <v>157</v>
      </c>
      <c r="B6" s="10" t="s">
        <v>152</v>
      </c>
      <c r="C6" s="10" t="s">
        <v>16</v>
      </c>
      <c r="D6" s="10">
        <v>0.33</v>
      </c>
      <c r="E6" s="10" t="s">
        <v>154</v>
      </c>
      <c r="F6" s="10" t="s">
        <v>16</v>
      </c>
      <c r="G6"/>
      <c r="H6" s="10" t="s">
        <v>17</v>
      </c>
      <c r="I6" s="10" t="s">
        <v>13</v>
      </c>
      <c r="J6" s="10" t="s">
        <v>14</v>
      </c>
      <c r="K6" s="10">
        <v>7.74</v>
      </c>
      <c r="L6" s="10" t="s">
        <v>16</v>
      </c>
      <c r="M6" s="11"/>
      <c r="N6"/>
      <c r="O6"/>
      <c r="P6"/>
      <c r="Q6"/>
      <c r="R6"/>
    </row>
    <row r="7" spans="1:18" ht="18.75">
      <c r="A7" s="10" t="s">
        <v>158</v>
      </c>
      <c r="B7" s="10" t="s">
        <v>152</v>
      </c>
      <c r="C7" s="10" t="s">
        <v>16</v>
      </c>
      <c r="D7" s="10">
        <v>0.33</v>
      </c>
      <c r="E7" s="10" t="s">
        <v>154</v>
      </c>
      <c r="F7" s="10" t="s">
        <v>16</v>
      </c>
      <c r="G7"/>
      <c r="H7" s="10" t="s">
        <v>18</v>
      </c>
      <c r="I7" s="10" t="s">
        <v>13</v>
      </c>
      <c r="J7" s="10" t="s">
        <v>14</v>
      </c>
      <c r="K7" s="10">
        <v>31.66</v>
      </c>
      <c r="L7" s="10" t="s">
        <v>16</v>
      </c>
      <c r="M7" s="11"/>
      <c r="N7"/>
      <c r="O7"/>
      <c r="P7"/>
      <c r="Q7"/>
      <c r="R7"/>
    </row>
    <row r="8" spans="1:18" ht="18.75">
      <c r="A8" s="10" t="s">
        <v>159</v>
      </c>
      <c r="B8" s="10" t="s">
        <v>152</v>
      </c>
      <c r="C8" s="10" t="s">
        <v>16</v>
      </c>
      <c r="D8" s="10">
        <v>0.33</v>
      </c>
      <c r="E8" s="10" t="s">
        <v>154</v>
      </c>
      <c r="F8" s="10" t="s">
        <v>16</v>
      </c>
      <c r="G8"/>
      <c r="H8" s="10" t="s">
        <v>19</v>
      </c>
      <c r="I8" s="10" t="s">
        <v>13</v>
      </c>
      <c r="J8" s="10" t="s">
        <v>14</v>
      </c>
      <c r="K8" s="10">
        <v>14.18</v>
      </c>
      <c r="L8" s="10" t="s">
        <v>16</v>
      </c>
      <c r="M8" s="11"/>
      <c r="N8"/>
      <c r="O8"/>
      <c r="P8"/>
      <c r="Q8"/>
      <c r="R8"/>
    </row>
    <row r="9" spans="1:18" ht="18.75">
      <c r="A9" s="10" t="s">
        <v>160</v>
      </c>
      <c r="B9" s="10" t="s">
        <v>152</v>
      </c>
      <c r="C9" s="10" t="s">
        <v>16</v>
      </c>
      <c r="D9" s="10">
        <v>0.33</v>
      </c>
      <c r="E9" s="10" t="s">
        <v>154</v>
      </c>
      <c r="F9" s="10" t="s">
        <v>16</v>
      </c>
      <c r="G9"/>
      <c r="H9" s="10" t="s">
        <v>20</v>
      </c>
      <c r="I9" s="10" t="s">
        <v>13</v>
      </c>
      <c r="J9" s="10" t="s">
        <v>14</v>
      </c>
      <c r="K9" s="10">
        <v>19.34</v>
      </c>
      <c r="L9" s="10" t="s">
        <v>16</v>
      </c>
      <c r="M9" s="11"/>
      <c r="N9"/>
      <c r="O9"/>
      <c r="P9"/>
      <c r="Q9"/>
      <c r="R9"/>
    </row>
    <row r="10" spans="1:18" ht="18.75">
      <c r="A10" s="10" t="s">
        <v>161</v>
      </c>
      <c r="B10" s="10" t="s">
        <v>152</v>
      </c>
      <c r="C10" s="10" t="s">
        <v>16</v>
      </c>
      <c r="D10" s="10">
        <v>0.33</v>
      </c>
      <c r="E10" s="10" t="s">
        <v>154</v>
      </c>
      <c r="F10" s="10" t="s">
        <v>16</v>
      </c>
      <c r="G10"/>
      <c r="H10" s="10" t="s">
        <v>21</v>
      </c>
      <c r="I10" s="10" t="s">
        <v>13</v>
      </c>
      <c r="J10" s="10" t="s">
        <v>14</v>
      </c>
      <c r="K10" s="10">
        <v>12.89</v>
      </c>
      <c r="L10" s="10" t="s">
        <v>16</v>
      </c>
      <c r="N10"/>
      <c r="O10"/>
      <c r="P10"/>
      <c r="Q10"/>
      <c r="R10"/>
    </row>
    <row r="11" spans="1:18" ht="18.75">
      <c r="A11" s="10" t="s">
        <v>162</v>
      </c>
      <c r="B11" s="10" t="s">
        <v>163</v>
      </c>
      <c r="C11" s="10" t="s">
        <v>164</v>
      </c>
      <c r="D11" s="10">
        <v>0.63600000000000001</v>
      </c>
      <c r="E11" s="10" t="s">
        <v>8</v>
      </c>
      <c r="F11" s="10" t="s">
        <v>16</v>
      </c>
      <c r="G11"/>
      <c r="H11" s="10" t="s">
        <v>22</v>
      </c>
      <c r="I11" s="10" t="s">
        <v>13</v>
      </c>
      <c r="J11" s="10" t="s">
        <v>14</v>
      </c>
      <c r="K11" s="10">
        <v>31.52</v>
      </c>
      <c r="L11" s="10" t="s">
        <v>16</v>
      </c>
      <c r="N11"/>
      <c r="O11"/>
      <c r="P11"/>
      <c r="Q11"/>
      <c r="R11"/>
    </row>
    <row r="12" spans="1:18" ht="18.75">
      <c r="A12" s="10" t="s">
        <v>165</v>
      </c>
      <c r="B12" s="10" t="s">
        <v>152</v>
      </c>
      <c r="C12" s="10" t="s">
        <v>166</v>
      </c>
      <c r="D12" s="10">
        <v>1.18</v>
      </c>
      <c r="E12" s="10" t="s">
        <v>8</v>
      </c>
      <c r="F12" s="10" t="s">
        <v>16</v>
      </c>
      <c r="G12"/>
      <c r="H12" s="10" t="s">
        <v>23</v>
      </c>
      <c r="I12" s="10" t="s">
        <v>13</v>
      </c>
      <c r="J12" s="10" t="s">
        <v>14</v>
      </c>
      <c r="K12" s="10">
        <v>15.76</v>
      </c>
      <c r="L12" s="10" t="s">
        <v>16</v>
      </c>
      <c r="N12"/>
      <c r="O12"/>
      <c r="P12"/>
      <c r="Q12"/>
      <c r="R12"/>
    </row>
    <row r="13" spans="1:18" ht="18.75">
      <c r="A13" s="10" t="s">
        <v>167</v>
      </c>
      <c r="B13" s="10" t="s">
        <v>168</v>
      </c>
      <c r="C13" s="10" t="s">
        <v>169</v>
      </c>
      <c r="D13" s="10">
        <v>0.78600000000000003</v>
      </c>
      <c r="E13" s="10" t="s">
        <v>8</v>
      </c>
      <c r="F13" s="10" t="s">
        <v>16</v>
      </c>
      <c r="G13"/>
      <c r="H13" s="10" t="s">
        <v>24</v>
      </c>
      <c r="I13" s="10" t="s">
        <v>13</v>
      </c>
      <c r="J13" s="10" t="s">
        <v>14</v>
      </c>
      <c r="K13" s="10">
        <v>31.52</v>
      </c>
      <c r="L13" s="10" t="s">
        <v>16</v>
      </c>
      <c r="N13"/>
      <c r="O13"/>
      <c r="P13"/>
      <c r="Q13"/>
      <c r="R13"/>
    </row>
    <row r="14" spans="1:18" ht="18.75">
      <c r="A14" s="10" t="s">
        <v>170</v>
      </c>
      <c r="B14" s="10" t="s">
        <v>168</v>
      </c>
      <c r="C14" s="10" t="s">
        <v>171</v>
      </c>
      <c r="D14" s="10">
        <v>0.442</v>
      </c>
      <c r="E14" s="10" t="s">
        <v>8</v>
      </c>
      <c r="F14" s="10" t="s">
        <v>16</v>
      </c>
      <c r="G14"/>
      <c r="H14" s="10" t="s">
        <v>25</v>
      </c>
      <c r="I14" s="10" t="s">
        <v>13</v>
      </c>
      <c r="J14" s="10" t="s">
        <v>14</v>
      </c>
      <c r="K14" s="10">
        <v>15.76</v>
      </c>
      <c r="L14" s="10" t="s">
        <v>16</v>
      </c>
      <c r="N14"/>
      <c r="O14"/>
      <c r="P14"/>
      <c r="Q14"/>
      <c r="R14"/>
    </row>
    <row r="15" spans="1:18" ht="18.75">
      <c r="A15" s="10" t="s">
        <v>172</v>
      </c>
      <c r="B15" s="10" t="s">
        <v>168</v>
      </c>
      <c r="C15" s="10" t="s">
        <v>16</v>
      </c>
      <c r="D15" s="10">
        <v>4.32</v>
      </c>
      <c r="E15" s="10" t="s">
        <v>8</v>
      </c>
      <c r="F15" s="10" t="s">
        <v>150</v>
      </c>
      <c r="G15"/>
      <c r="H15" s="10" t="s">
        <v>26</v>
      </c>
      <c r="I15" s="10" t="s">
        <v>27</v>
      </c>
      <c r="J15" s="10" t="s">
        <v>28</v>
      </c>
      <c r="K15" s="10">
        <v>1.81</v>
      </c>
      <c r="L15" s="10" t="s">
        <v>16</v>
      </c>
      <c r="N15"/>
      <c r="O15"/>
      <c r="P15"/>
      <c r="Q15"/>
      <c r="R15"/>
    </row>
    <row r="16" spans="1:18" ht="18.75">
      <c r="A16" s="10" t="s">
        <v>173</v>
      </c>
      <c r="B16" s="10" t="s">
        <v>174</v>
      </c>
      <c r="C16" s="10" t="s">
        <v>175</v>
      </c>
      <c r="D16" s="10">
        <v>6.0039999999999996</v>
      </c>
      <c r="E16" s="10" t="s">
        <v>8</v>
      </c>
      <c r="F16" s="10" t="s">
        <v>16</v>
      </c>
      <c r="G16"/>
      <c r="H16" s="10" t="s">
        <v>29</v>
      </c>
      <c r="I16" s="10" t="s">
        <v>27</v>
      </c>
      <c r="J16" s="10" t="s">
        <v>28</v>
      </c>
      <c r="K16" s="10">
        <v>5.29</v>
      </c>
      <c r="L16" s="10" t="s">
        <v>16</v>
      </c>
      <c r="N16"/>
      <c r="O16"/>
      <c r="P16"/>
      <c r="Q16"/>
      <c r="R16"/>
    </row>
    <row r="17" spans="1:18" ht="18.75">
      <c r="A17" s="10" t="s">
        <v>176</v>
      </c>
      <c r="B17" s="10" t="s">
        <v>177</v>
      </c>
      <c r="C17" s="10" t="s">
        <v>178</v>
      </c>
      <c r="D17" s="10">
        <v>2.2200000000000002</v>
      </c>
      <c r="E17" s="10" t="s">
        <v>154</v>
      </c>
      <c r="F17" s="10" t="s">
        <v>16</v>
      </c>
      <c r="G17"/>
      <c r="H17" s="10" t="s">
        <v>30</v>
      </c>
      <c r="I17" s="10" t="s">
        <v>27</v>
      </c>
      <c r="J17" s="10" t="s">
        <v>28</v>
      </c>
      <c r="K17" s="10">
        <v>11.91</v>
      </c>
      <c r="L17" s="10" t="s">
        <v>16</v>
      </c>
      <c r="N17"/>
      <c r="O17"/>
      <c r="P17"/>
      <c r="Q17"/>
      <c r="R17"/>
    </row>
    <row r="18" spans="1:18" ht="18.75">
      <c r="A18" s="10" t="s">
        <v>179</v>
      </c>
      <c r="B18" s="10" t="s">
        <v>31</v>
      </c>
      <c r="C18" s="10" t="s">
        <v>180</v>
      </c>
      <c r="D18" s="10">
        <v>13.208</v>
      </c>
      <c r="E18" s="10" t="s">
        <v>8</v>
      </c>
      <c r="F18" s="10" t="s">
        <v>16</v>
      </c>
      <c r="G18"/>
      <c r="H18" s="10" t="s">
        <v>32</v>
      </c>
      <c r="I18" s="10" t="s">
        <v>33</v>
      </c>
      <c r="J18" s="10" t="s">
        <v>34</v>
      </c>
      <c r="K18" s="10">
        <v>0.38</v>
      </c>
      <c r="L18" s="10" t="s">
        <v>16</v>
      </c>
      <c r="N18"/>
      <c r="O18"/>
      <c r="P18"/>
      <c r="Q18"/>
      <c r="R18"/>
    </row>
    <row r="19" spans="1:18" ht="18.75">
      <c r="A19" s="10" t="s">
        <v>181</v>
      </c>
      <c r="B19" s="10" t="s">
        <v>31</v>
      </c>
      <c r="C19" s="10" t="s">
        <v>182</v>
      </c>
      <c r="D19" s="10">
        <v>9.73</v>
      </c>
      <c r="E19" s="10" t="s">
        <v>8</v>
      </c>
      <c r="F19" s="10" t="s">
        <v>16</v>
      </c>
      <c r="G19"/>
      <c r="H19" s="10"/>
      <c r="I19" s="10"/>
      <c r="J19" s="10" t="s">
        <v>35</v>
      </c>
      <c r="K19" s="10">
        <v>1.0900000000000001</v>
      </c>
      <c r="L19" s="10" t="s">
        <v>16</v>
      </c>
      <c r="N19"/>
      <c r="O19"/>
      <c r="P19"/>
      <c r="Q19"/>
      <c r="R19"/>
    </row>
    <row r="20" spans="1:18" ht="18.75">
      <c r="A20" s="10" t="s">
        <v>36</v>
      </c>
      <c r="B20" s="10" t="s">
        <v>31</v>
      </c>
      <c r="C20" s="10" t="s">
        <v>37</v>
      </c>
      <c r="D20" s="10">
        <v>6.6779999999999999</v>
      </c>
      <c r="E20" s="10" t="s">
        <v>8</v>
      </c>
      <c r="F20" s="10" t="s">
        <v>16</v>
      </c>
      <c r="G20"/>
      <c r="H20" s="10" t="s">
        <v>38</v>
      </c>
      <c r="I20" s="10" t="s">
        <v>33</v>
      </c>
      <c r="J20" s="10" t="s">
        <v>34</v>
      </c>
      <c r="K20" s="10">
        <v>0.38</v>
      </c>
      <c r="L20" s="10" t="s">
        <v>16</v>
      </c>
      <c r="N20"/>
      <c r="O20"/>
      <c r="P20"/>
      <c r="Q20"/>
      <c r="R20"/>
    </row>
    <row r="21" spans="1:18" ht="18.75">
      <c r="A21" s="10" t="s">
        <v>183</v>
      </c>
      <c r="B21" s="10" t="s">
        <v>152</v>
      </c>
      <c r="C21" s="10" t="s">
        <v>184</v>
      </c>
      <c r="D21" s="10">
        <v>2.0880000000000001</v>
      </c>
      <c r="E21" s="10" t="s">
        <v>8</v>
      </c>
      <c r="F21" s="10" t="s">
        <v>16</v>
      </c>
      <c r="G21"/>
      <c r="H21" s="10"/>
      <c r="I21" s="10"/>
      <c r="J21" s="10" t="s">
        <v>35</v>
      </c>
      <c r="K21" s="10">
        <v>1.07</v>
      </c>
      <c r="L21" s="10" t="s">
        <v>16</v>
      </c>
      <c r="N21"/>
      <c r="O21"/>
      <c r="P21"/>
      <c r="Q21"/>
      <c r="R21"/>
    </row>
    <row r="22" spans="1:18" ht="18.75">
      <c r="A22" s="10" t="s">
        <v>185</v>
      </c>
      <c r="B22" s="10" t="s">
        <v>152</v>
      </c>
      <c r="C22" s="10" t="s">
        <v>186</v>
      </c>
      <c r="D22" s="10">
        <v>1.1879999999999999</v>
      </c>
      <c r="E22" s="10" t="s">
        <v>8</v>
      </c>
      <c r="F22" s="10" t="s">
        <v>16</v>
      </c>
      <c r="G22"/>
      <c r="H22" s="10" t="s">
        <v>39</v>
      </c>
      <c r="I22" s="10" t="s">
        <v>33</v>
      </c>
      <c r="J22" s="10" t="s">
        <v>34</v>
      </c>
      <c r="K22" s="10">
        <v>0.56000000000000005</v>
      </c>
      <c r="L22" s="10" t="s">
        <v>16</v>
      </c>
      <c r="N22"/>
      <c r="O22"/>
      <c r="P22"/>
      <c r="Q22"/>
      <c r="R22"/>
    </row>
    <row r="23" spans="1:18" ht="18.75">
      <c r="A23" s="10" t="s">
        <v>187</v>
      </c>
      <c r="B23" s="10" t="s">
        <v>188</v>
      </c>
      <c r="C23" s="10" t="s">
        <v>16</v>
      </c>
      <c r="D23" s="10">
        <v>0.12</v>
      </c>
      <c r="E23" s="10" t="s">
        <v>154</v>
      </c>
      <c r="F23" s="10" t="s">
        <v>16</v>
      </c>
      <c r="G23"/>
      <c r="H23" s="10"/>
      <c r="I23" s="10"/>
      <c r="J23" s="10" t="s">
        <v>40</v>
      </c>
      <c r="K23" s="10">
        <v>1.29</v>
      </c>
      <c r="L23" s="10" t="s">
        <v>16</v>
      </c>
      <c r="N23"/>
      <c r="O23"/>
      <c r="P23"/>
      <c r="Q23"/>
      <c r="R23"/>
    </row>
    <row r="24" spans="1:18" ht="18.75">
      <c r="A24" s="10" t="s">
        <v>189</v>
      </c>
      <c r="B24" s="10" t="s">
        <v>152</v>
      </c>
      <c r="C24" s="10" t="s">
        <v>190</v>
      </c>
      <c r="D24" s="10">
        <v>0.32600000000000001</v>
      </c>
      <c r="E24" s="10" t="s">
        <v>8</v>
      </c>
      <c r="F24" s="10" t="s">
        <v>16</v>
      </c>
      <c r="G24"/>
      <c r="H24" s="10" t="s">
        <v>41</v>
      </c>
      <c r="I24" s="10" t="s">
        <v>42</v>
      </c>
      <c r="J24" s="10" t="s">
        <v>43</v>
      </c>
      <c r="K24" s="10" t="s">
        <v>16</v>
      </c>
      <c r="L24" s="10" t="s">
        <v>16</v>
      </c>
      <c r="N24"/>
      <c r="O24"/>
      <c r="P24"/>
      <c r="Q24"/>
      <c r="R24"/>
    </row>
    <row r="25" spans="1:18" ht="18.75">
      <c r="A25" s="10" t="s">
        <v>191</v>
      </c>
      <c r="B25" s="10" t="s">
        <v>152</v>
      </c>
      <c r="C25" s="10" t="s">
        <v>16</v>
      </c>
      <c r="D25" s="10">
        <v>0.89</v>
      </c>
      <c r="E25" s="10" t="s">
        <v>154</v>
      </c>
      <c r="F25" s="10" t="s">
        <v>16</v>
      </c>
      <c r="G25"/>
      <c r="H25" s="10" t="s">
        <v>44</v>
      </c>
      <c r="I25" s="10" t="s">
        <v>42</v>
      </c>
      <c r="J25" s="10" t="s">
        <v>45</v>
      </c>
      <c r="K25" s="10">
        <v>0.99</v>
      </c>
      <c r="L25" s="10" t="s">
        <v>16</v>
      </c>
      <c r="N25"/>
      <c r="O25"/>
      <c r="P25"/>
      <c r="Q25"/>
      <c r="R25"/>
    </row>
    <row r="26" spans="1:18" ht="18.75">
      <c r="A26" s="10" t="s">
        <v>192</v>
      </c>
      <c r="B26" s="10" t="s">
        <v>163</v>
      </c>
      <c r="C26" s="10" t="s">
        <v>16</v>
      </c>
      <c r="D26" s="10">
        <v>4.0839999999999996</v>
      </c>
      <c r="E26" s="10" t="s">
        <v>8</v>
      </c>
      <c r="F26" s="10" t="s">
        <v>16</v>
      </c>
      <c r="G26"/>
      <c r="H26" s="10" t="s">
        <v>46</v>
      </c>
      <c r="I26" s="10" t="s">
        <v>42</v>
      </c>
      <c r="J26" s="10" t="s">
        <v>45</v>
      </c>
      <c r="K26" s="10">
        <v>0.08</v>
      </c>
      <c r="L26" s="10" t="s">
        <v>16</v>
      </c>
      <c r="N26"/>
      <c r="O26"/>
      <c r="P26"/>
      <c r="Q26"/>
      <c r="R26"/>
    </row>
    <row r="27" spans="1:18" ht="18.75">
      <c r="A27" s="10" t="s">
        <v>193</v>
      </c>
      <c r="B27" s="10" t="s">
        <v>163</v>
      </c>
      <c r="C27" s="10" t="s">
        <v>194</v>
      </c>
      <c r="D27" s="10">
        <v>6.1820000000000004</v>
      </c>
      <c r="E27" s="10" t="s">
        <v>8</v>
      </c>
      <c r="F27" s="10" t="s">
        <v>16</v>
      </c>
      <c r="G27"/>
      <c r="H27" s="10" t="s">
        <v>47</v>
      </c>
      <c r="I27" s="10" t="s">
        <v>42</v>
      </c>
      <c r="J27" s="10" t="s">
        <v>45</v>
      </c>
      <c r="K27" s="10">
        <v>0.61</v>
      </c>
      <c r="L27" s="10" t="s">
        <v>16</v>
      </c>
      <c r="N27"/>
      <c r="O27"/>
      <c r="P27"/>
      <c r="Q27"/>
      <c r="R27"/>
    </row>
    <row r="28" spans="1:18" ht="18.75">
      <c r="A28" s="10" t="s">
        <v>195</v>
      </c>
      <c r="B28" s="10" t="s">
        <v>152</v>
      </c>
      <c r="C28" s="10" t="s">
        <v>16</v>
      </c>
      <c r="D28" s="10">
        <v>0.89</v>
      </c>
      <c r="E28" s="10" t="s">
        <v>154</v>
      </c>
      <c r="F28" s="10" t="s">
        <v>16</v>
      </c>
      <c r="G28"/>
      <c r="H28" s="10" t="s">
        <v>48</v>
      </c>
      <c r="I28" s="10" t="s">
        <v>42</v>
      </c>
      <c r="J28" s="10" t="s">
        <v>45</v>
      </c>
      <c r="K28" s="10">
        <v>0.08</v>
      </c>
      <c r="L28" s="10" t="s">
        <v>16</v>
      </c>
      <c r="N28"/>
      <c r="O28"/>
      <c r="P28"/>
      <c r="Q28"/>
      <c r="R28"/>
    </row>
    <row r="29" spans="1:18" ht="18.75">
      <c r="A29" s="10" t="s">
        <v>196</v>
      </c>
      <c r="B29" s="10" t="s">
        <v>188</v>
      </c>
      <c r="C29" s="10" t="s">
        <v>197</v>
      </c>
      <c r="D29" s="10">
        <v>0.65800000000000003</v>
      </c>
      <c r="E29" s="10" t="s">
        <v>8</v>
      </c>
      <c r="F29" s="10" t="s">
        <v>16</v>
      </c>
      <c r="G29"/>
      <c r="H29" s="10" t="s">
        <v>49</v>
      </c>
      <c r="I29" s="10" t="s">
        <v>42</v>
      </c>
      <c r="J29" s="10" t="s">
        <v>45</v>
      </c>
      <c r="K29" s="10">
        <v>0.26</v>
      </c>
      <c r="L29" s="10" t="s">
        <v>16</v>
      </c>
      <c r="N29"/>
      <c r="O29"/>
      <c r="P29"/>
      <c r="Q29"/>
      <c r="R29"/>
    </row>
    <row r="30" spans="1:18" ht="18.75">
      <c r="A30" s="10" t="s">
        <v>198</v>
      </c>
      <c r="B30" s="10" t="s">
        <v>188</v>
      </c>
      <c r="C30" s="10" t="s">
        <v>197</v>
      </c>
      <c r="D30" s="10">
        <v>0.65800000000000003</v>
      </c>
      <c r="E30" s="10" t="s">
        <v>8</v>
      </c>
      <c r="F30" s="10" t="s">
        <v>16</v>
      </c>
      <c r="G30"/>
      <c r="H30" s="10" t="s">
        <v>50</v>
      </c>
      <c r="I30" s="10" t="s">
        <v>42</v>
      </c>
      <c r="J30" s="10" t="s">
        <v>45</v>
      </c>
      <c r="K30" s="10">
        <v>0.34</v>
      </c>
      <c r="L30" s="10" t="s">
        <v>16</v>
      </c>
      <c r="N30"/>
      <c r="O30"/>
      <c r="P30"/>
      <c r="Q30"/>
      <c r="R30"/>
    </row>
    <row r="31" spans="1:18" ht="18.75">
      <c r="A31" s="10" t="s">
        <v>199</v>
      </c>
      <c r="B31" s="10" t="s">
        <v>177</v>
      </c>
      <c r="C31" s="10" t="s">
        <v>200</v>
      </c>
      <c r="D31" s="10">
        <v>3.4140000000000001</v>
      </c>
      <c r="E31" s="10" t="s">
        <v>8</v>
      </c>
      <c r="F31" s="10" t="s">
        <v>16</v>
      </c>
      <c r="G31"/>
      <c r="H31" s="10" t="s">
        <v>51</v>
      </c>
      <c r="I31" s="10" t="s">
        <v>42</v>
      </c>
      <c r="J31" s="10" t="s">
        <v>45</v>
      </c>
      <c r="K31" s="10">
        <v>0.17</v>
      </c>
      <c r="L31" s="10" t="s">
        <v>16</v>
      </c>
      <c r="N31"/>
      <c r="O31"/>
      <c r="P31"/>
      <c r="Q31"/>
      <c r="R31"/>
    </row>
    <row r="32" spans="1:18" ht="18.75">
      <c r="A32" s="10" t="s">
        <v>201</v>
      </c>
      <c r="B32" s="10" t="s">
        <v>188</v>
      </c>
      <c r="C32" s="10" t="s">
        <v>202</v>
      </c>
      <c r="D32" s="10">
        <v>0.19</v>
      </c>
      <c r="E32" s="10" t="s">
        <v>154</v>
      </c>
      <c r="F32" s="10" t="s">
        <v>16</v>
      </c>
      <c r="G32"/>
      <c r="H32" s="10" t="s">
        <v>52</v>
      </c>
      <c r="I32" s="10" t="s">
        <v>42</v>
      </c>
      <c r="J32" s="10" t="s">
        <v>45</v>
      </c>
      <c r="K32" s="10">
        <v>0.1</v>
      </c>
      <c r="L32" s="10" t="s">
        <v>16</v>
      </c>
      <c r="N32"/>
      <c r="O32"/>
      <c r="P32"/>
      <c r="Q32"/>
      <c r="R32"/>
    </row>
    <row r="33" spans="1:18" ht="18.75">
      <c r="A33" s="10" t="s">
        <v>203</v>
      </c>
      <c r="B33" s="10" t="s">
        <v>188</v>
      </c>
      <c r="C33" s="10" t="s">
        <v>204</v>
      </c>
      <c r="D33" s="10">
        <v>2.4E-2</v>
      </c>
      <c r="E33" s="10" t="s">
        <v>8</v>
      </c>
      <c r="F33" s="10" t="s">
        <v>16</v>
      </c>
      <c r="G33"/>
      <c r="H33" s="10" t="s">
        <v>53</v>
      </c>
      <c r="I33" s="10" t="s">
        <v>42</v>
      </c>
      <c r="J33" s="10" t="s">
        <v>45</v>
      </c>
      <c r="K33" s="10">
        <v>0.42</v>
      </c>
      <c r="L33" s="10" t="s">
        <v>16</v>
      </c>
      <c r="N33"/>
      <c r="O33"/>
      <c r="P33"/>
      <c r="Q33"/>
      <c r="R33"/>
    </row>
    <row r="34" spans="1:18" ht="18.75">
      <c r="A34" s="10" t="s">
        <v>205</v>
      </c>
      <c r="B34" s="10" t="s">
        <v>188</v>
      </c>
      <c r="C34" s="10" t="s">
        <v>206</v>
      </c>
      <c r="D34" s="10">
        <v>0.14000000000000001</v>
      </c>
      <c r="E34" s="10" t="s">
        <v>8</v>
      </c>
      <c r="F34" s="10" t="s">
        <v>16</v>
      </c>
      <c r="G34"/>
      <c r="H34" s="10" t="s">
        <v>54</v>
      </c>
      <c r="I34" s="10" t="s">
        <v>42</v>
      </c>
      <c r="J34" s="10" t="s">
        <v>45</v>
      </c>
      <c r="K34" s="10">
        <v>0.26</v>
      </c>
      <c r="L34" s="10" t="s">
        <v>16</v>
      </c>
      <c r="N34"/>
      <c r="O34"/>
      <c r="P34"/>
      <c r="Q34"/>
      <c r="R34"/>
    </row>
    <row r="35" spans="1:18" ht="18.75">
      <c r="A35" s="10" t="s">
        <v>207</v>
      </c>
      <c r="B35" s="10" t="s">
        <v>177</v>
      </c>
      <c r="C35" s="10" t="s">
        <v>208</v>
      </c>
      <c r="D35" s="10">
        <v>2.4780000000000002</v>
      </c>
      <c r="E35" s="10" t="s">
        <v>8</v>
      </c>
      <c r="F35" s="10" t="s">
        <v>16</v>
      </c>
      <c r="G35"/>
      <c r="H35" s="10" t="s">
        <v>55</v>
      </c>
      <c r="I35" s="10" t="s">
        <v>42</v>
      </c>
      <c r="J35" s="10" t="s">
        <v>45</v>
      </c>
      <c r="K35" s="10">
        <v>0.72</v>
      </c>
      <c r="L35" s="10" t="s">
        <v>16</v>
      </c>
      <c r="N35"/>
      <c r="O35"/>
      <c r="P35"/>
      <c r="Q35"/>
      <c r="R35"/>
    </row>
    <row r="36" spans="1:18" ht="18.75">
      <c r="A36" s="10" t="s">
        <v>209</v>
      </c>
      <c r="B36" s="10" t="s">
        <v>152</v>
      </c>
      <c r="C36" s="10" t="s">
        <v>16</v>
      </c>
      <c r="D36" s="10">
        <v>0.16</v>
      </c>
      <c r="E36" s="10" t="s">
        <v>8</v>
      </c>
      <c r="F36" s="10" t="s">
        <v>16</v>
      </c>
      <c r="G36"/>
      <c r="H36" s="10" t="s">
        <v>56</v>
      </c>
      <c r="I36" s="10" t="s">
        <v>42</v>
      </c>
      <c r="J36" s="10" t="s">
        <v>45</v>
      </c>
      <c r="K36" s="10">
        <v>0.43</v>
      </c>
      <c r="L36" s="10" t="s">
        <v>16</v>
      </c>
      <c r="N36"/>
      <c r="O36"/>
      <c r="P36"/>
      <c r="Q36"/>
      <c r="R36"/>
    </row>
    <row r="37" spans="1:18" ht="18.75">
      <c r="A37" s="10" t="s">
        <v>210</v>
      </c>
      <c r="B37" s="10" t="s">
        <v>152</v>
      </c>
      <c r="C37" s="10" t="s">
        <v>16</v>
      </c>
      <c r="D37" s="10">
        <v>0.09</v>
      </c>
      <c r="E37" s="10" t="s">
        <v>8</v>
      </c>
      <c r="F37" s="10" t="s">
        <v>16</v>
      </c>
      <c r="G37"/>
      <c r="H37" s="10" t="s">
        <v>57</v>
      </c>
      <c r="I37" s="10" t="s">
        <v>42</v>
      </c>
      <c r="J37" s="10" t="s">
        <v>43</v>
      </c>
      <c r="K37" s="10" t="s">
        <v>16</v>
      </c>
      <c r="L37" s="10" t="s">
        <v>16</v>
      </c>
      <c r="N37"/>
      <c r="O37"/>
      <c r="P37"/>
      <c r="Q37"/>
      <c r="R37"/>
    </row>
    <row r="38" spans="1:18" ht="18.75">
      <c r="A38" s="10" t="s">
        <v>211</v>
      </c>
      <c r="B38" s="10" t="s">
        <v>152</v>
      </c>
      <c r="C38" s="10" t="s">
        <v>16</v>
      </c>
      <c r="D38" s="10">
        <v>7.0000000000000007E-2</v>
      </c>
      <c r="E38" s="10" t="s">
        <v>154</v>
      </c>
      <c r="F38" s="10" t="s">
        <v>16</v>
      </c>
      <c r="G38"/>
      <c r="H38" s="10" t="s">
        <v>58</v>
      </c>
      <c r="I38" s="10" t="s">
        <v>59</v>
      </c>
      <c r="J38" s="10" t="s">
        <v>43</v>
      </c>
      <c r="K38" s="10">
        <v>1.92</v>
      </c>
      <c r="L38" s="10" t="s">
        <v>16</v>
      </c>
      <c r="N38"/>
      <c r="O38"/>
      <c r="P38"/>
      <c r="Q38"/>
      <c r="R38"/>
    </row>
    <row r="39" spans="1:18" ht="18.75">
      <c r="A39" s="10" t="s">
        <v>212</v>
      </c>
      <c r="B39" s="10" t="s">
        <v>152</v>
      </c>
      <c r="C39" s="10" t="s">
        <v>16</v>
      </c>
      <c r="D39" s="10">
        <v>7.0000000000000007E-2</v>
      </c>
      <c r="E39" s="10" t="s">
        <v>154</v>
      </c>
      <c r="F39" s="10" t="s">
        <v>16</v>
      </c>
      <c r="G39"/>
      <c r="H39" s="10" t="s">
        <v>60</v>
      </c>
      <c r="I39" s="10" t="s">
        <v>59</v>
      </c>
      <c r="J39" s="10" t="s">
        <v>43</v>
      </c>
      <c r="K39" s="10">
        <v>0.48</v>
      </c>
      <c r="L39" s="10" t="s">
        <v>16</v>
      </c>
      <c r="N39"/>
      <c r="O39"/>
      <c r="P39"/>
      <c r="Q39"/>
      <c r="R39"/>
    </row>
    <row r="40" spans="1:18" ht="18.75">
      <c r="A40" s="10" t="s">
        <v>213</v>
      </c>
      <c r="B40" s="10" t="s">
        <v>152</v>
      </c>
      <c r="C40" s="10" t="s">
        <v>16</v>
      </c>
      <c r="D40" s="10">
        <v>7.0000000000000007E-2</v>
      </c>
      <c r="E40" s="10" t="s">
        <v>154</v>
      </c>
      <c r="F40" s="10" t="s">
        <v>16</v>
      </c>
      <c r="G40"/>
      <c r="H40" s="10" t="s">
        <v>61</v>
      </c>
      <c r="I40" s="10" t="s">
        <v>59</v>
      </c>
      <c r="J40" s="10" t="s">
        <v>43</v>
      </c>
      <c r="K40" s="10">
        <v>0.18</v>
      </c>
      <c r="L40" s="10" t="s">
        <v>16</v>
      </c>
      <c r="N40"/>
      <c r="O40"/>
      <c r="P40"/>
      <c r="Q40"/>
      <c r="R40"/>
    </row>
    <row r="41" spans="1:18" ht="18.75">
      <c r="A41" s="10" t="s">
        <v>214</v>
      </c>
      <c r="B41" s="10" t="s">
        <v>152</v>
      </c>
      <c r="C41" s="10" t="s">
        <v>16</v>
      </c>
      <c r="D41" s="10">
        <v>7.0000000000000007E-2</v>
      </c>
      <c r="E41" s="10" t="s">
        <v>154</v>
      </c>
      <c r="F41" s="10" t="s">
        <v>16</v>
      </c>
      <c r="G41"/>
      <c r="H41" s="10" t="s">
        <v>62</v>
      </c>
      <c r="I41" s="10" t="s">
        <v>59</v>
      </c>
      <c r="J41" s="10" t="s">
        <v>43</v>
      </c>
      <c r="K41" s="10">
        <v>0.11</v>
      </c>
      <c r="L41" s="10" t="s">
        <v>16</v>
      </c>
      <c r="N41"/>
      <c r="O41"/>
      <c r="P41"/>
      <c r="Q41"/>
      <c r="R41"/>
    </row>
    <row r="42" spans="1:18" ht="18.75">
      <c r="A42" s="10" t="s">
        <v>215</v>
      </c>
      <c r="B42" s="10" t="s">
        <v>152</v>
      </c>
      <c r="C42" s="10" t="s">
        <v>16</v>
      </c>
      <c r="D42" s="10">
        <v>7.0000000000000007E-2</v>
      </c>
      <c r="E42" s="10" t="s">
        <v>154</v>
      </c>
      <c r="F42" s="10" t="s">
        <v>16</v>
      </c>
      <c r="G42"/>
      <c r="H42" s="10" t="s">
        <v>63</v>
      </c>
      <c r="I42" s="10" t="s">
        <v>59</v>
      </c>
      <c r="J42" s="10" t="s">
        <v>43</v>
      </c>
      <c r="K42" s="10">
        <v>3.12</v>
      </c>
      <c r="L42" s="10" t="s">
        <v>16</v>
      </c>
      <c r="N42"/>
      <c r="O42"/>
      <c r="P42"/>
      <c r="Q42"/>
      <c r="R42"/>
    </row>
    <row r="43" spans="1:18" ht="18.75">
      <c r="A43" s="10" t="s">
        <v>216</v>
      </c>
      <c r="B43" s="10" t="s">
        <v>152</v>
      </c>
      <c r="C43" s="10" t="s">
        <v>16</v>
      </c>
      <c r="D43" s="10">
        <v>7.0000000000000007E-2</v>
      </c>
      <c r="E43" s="10" t="s">
        <v>154</v>
      </c>
      <c r="F43" s="10" t="s">
        <v>16</v>
      </c>
      <c r="G43"/>
      <c r="H43" s="10" t="s">
        <v>64</v>
      </c>
      <c r="I43" s="10" t="s">
        <v>59</v>
      </c>
      <c r="J43" s="10" t="s">
        <v>43</v>
      </c>
      <c r="K43" s="10">
        <v>2.56</v>
      </c>
      <c r="L43" s="10" t="s">
        <v>16</v>
      </c>
      <c r="N43"/>
      <c r="O43"/>
      <c r="P43"/>
      <c r="Q43"/>
      <c r="R43"/>
    </row>
    <row r="44" spans="1:18" ht="18.75">
      <c r="A44" s="10" t="s">
        <v>217</v>
      </c>
      <c r="B44" s="10" t="s">
        <v>152</v>
      </c>
      <c r="C44" s="10" t="s">
        <v>16</v>
      </c>
      <c r="D44" s="10">
        <v>7.0000000000000007E-2</v>
      </c>
      <c r="E44" s="10" t="s">
        <v>154</v>
      </c>
      <c r="F44" s="10" t="s">
        <v>16</v>
      </c>
      <c r="G44"/>
      <c r="H44" s="10" t="s">
        <v>65</v>
      </c>
      <c r="I44" s="10" t="s">
        <v>59</v>
      </c>
      <c r="J44" s="10" t="s">
        <v>43</v>
      </c>
      <c r="K44" s="10">
        <v>0.16</v>
      </c>
      <c r="L44" s="10" t="s">
        <v>16</v>
      </c>
      <c r="N44"/>
      <c r="O44"/>
      <c r="P44"/>
      <c r="Q44"/>
      <c r="R44"/>
    </row>
    <row r="45" spans="1:18" ht="18.75">
      <c r="A45" s="10" t="s">
        <v>218</v>
      </c>
      <c r="B45" s="10" t="s">
        <v>152</v>
      </c>
      <c r="C45" s="10" t="s">
        <v>16</v>
      </c>
      <c r="D45" s="10">
        <v>7.0000000000000007E-2</v>
      </c>
      <c r="E45" s="10" t="s">
        <v>154</v>
      </c>
      <c r="F45" s="10" t="s">
        <v>16</v>
      </c>
      <c r="G45"/>
      <c r="H45" s="10" t="s">
        <v>66</v>
      </c>
      <c r="I45" s="10" t="s">
        <v>59</v>
      </c>
      <c r="J45" s="10" t="s">
        <v>43</v>
      </c>
      <c r="K45" s="10">
        <v>1.1100000000000001</v>
      </c>
      <c r="L45" s="10" t="s">
        <v>16</v>
      </c>
      <c r="N45"/>
      <c r="O45"/>
      <c r="P45"/>
      <c r="Q45"/>
      <c r="R45"/>
    </row>
    <row r="46" spans="1:18" ht="18.75">
      <c r="A46" s="10" t="s">
        <v>219</v>
      </c>
      <c r="B46" s="10" t="s">
        <v>152</v>
      </c>
      <c r="C46" s="10" t="s">
        <v>16</v>
      </c>
      <c r="D46" s="10">
        <v>0.2</v>
      </c>
      <c r="E46" s="10" t="s">
        <v>154</v>
      </c>
      <c r="F46" s="10" t="s">
        <v>16</v>
      </c>
      <c r="G46"/>
      <c r="H46" s="10" t="s">
        <v>67</v>
      </c>
      <c r="I46" s="10" t="s">
        <v>59</v>
      </c>
      <c r="J46" s="10" t="s">
        <v>43</v>
      </c>
      <c r="K46" s="10">
        <v>0.28000000000000003</v>
      </c>
      <c r="L46" s="10" t="s">
        <v>16</v>
      </c>
      <c r="N46"/>
      <c r="O46"/>
      <c r="P46"/>
      <c r="Q46"/>
      <c r="R46"/>
    </row>
    <row r="47" spans="1:18" ht="18.75">
      <c r="A47" s="10" t="s">
        <v>220</v>
      </c>
      <c r="B47" s="10" t="s">
        <v>152</v>
      </c>
      <c r="C47" s="10" t="s">
        <v>16</v>
      </c>
      <c r="D47" s="10">
        <v>0.42</v>
      </c>
      <c r="E47" s="10" t="s">
        <v>154</v>
      </c>
      <c r="F47" s="10" t="s">
        <v>16</v>
      </c>
      <c r="G47"/>
      <c r="H47" s="10" t="s">
        <v>68</v>
      </c>
      <c r="I47" s="10" t="s">
        <v>59</v>
      </c>
      <c r="J47" s="10" t="s">
        <v>43</v>
      </c>
      <c r="K47" s="10">
        <v>0.22</v>
      </c>
      <c r="L47" s="10" t="s">
        <v>16</v>
      </c>
      <c r="N47"/>
      <c r="O47"/>
      <c r="P47"/>
      <c r="Q47"/>
      <c r="R47"/>
    </row>
    <row r="48" spans="1:18" ht="18.75">
      <c r="A48" s="10" t="s">
        <v>221</v>
      </c>
      <c r="B48" s="10" t="s">
        <v>188</v>
      </c>
      <c r="C48" s="10" t="s">
        <v>16</v>
      </c>
      <c r="D48" s="10">
        <v>0.03</v>
      </c>
      <c r="E48" s="10" t="s">
        <v>154</v>
      </c>
      <c r="F48" s="10" t="s">
        <v>16</v>
      </c>
      <c r="G48"/>
      <c r="H48" s="10" t="s">
        <v>69</v>
      </c>
      <c r="I48" s="10" t="s">
        <v>59</v>
      </c>
      <c r="J48" s="10" t="s">
        <v>43</v>
      </c>
      <c r="K48" s="10">
        <v>0.67</v>
      </c>
      <c r="L48" s="10" t="s">
        <v>16</v>
      </c>
      <c r="N48"/>
      <c r="O48"/>
      <c r="P48"/>
      <c r="Q48"/>
      <c r="R48"/>
    </row>
    <row r="49" spans="1:18" ht="18.75">
      <c r="A49" s="10" t="s">
        <v>222</v>
      </c>
      <c r="B49" s="10" t="s">
        <v>163</v>
      </c>
      <c r="C49" s="10" t="s">
        <v>16</v>
      </c>
      <c r="D49" s="10">
        <v>2.4900000000000002</v>
      </c>
      <c r="E49" s="10" t="s">
        <v>154</v>
      </c>
      <c r="F49" s="10" t="s">
        <v>16</v>
      </c>
      <c r="G49"/>
      <c r="H49" s="10" t="s">
        <v>70</v>
      </c>
      <c r="I49" s="10" t="s">
        <v>59</v>
      </c>
      <c r="J49" s="10" t="s">
        <v>43</v>
      </c>
      <c r="K49" s="10">
        <v>0.38</v>
      </c>
      <c r="L49" s="10" t="s">
        <v>16</v>
      </c>
      <c r="N49"/>
      <c r="O49"/>
      <c r="P49"/>
      <c r="Q49"/>
      <c r="R49"/>
    </row>
    <row r="50" spans="1:18" ht="18.75">
      <c r="A50" s="10" t="s">
        <v>223</v>
      </c>
      <c r="B50" s="10" t="s">
        <v>152</v>
      </c>
      <c r="C50" s="10" t="s">
        <v>16</v>
      </c>
      <c r="D50" s="10">
        <v>0.44</v>
      </c>
      <c r="E50" s="10" t="s">
        <v>154</v>
      </c>
      <c r="F50" s="10" t="s">
        <v>16</v>
      </c>
      <c r="G50"/>
      <c r="H50" s="10" t="s">
        <v>71</v>
      </c>
      <c r="I50" s="10" t="s">
        <v>59</v>
      </c>
      <c r="J50" s="10" t="s">
        <v>43</v>
      </c>
      <c r="K50" s="10">
        <v>0.45</v>
      </c>
      <c r="L50" s="10" t="s">
        <v>16</v>
      </c>
      <c r="N50"/>
      <c r="O50"/>
      <c r="P50"/>
      <c r="Q50"/>
      <c r="R50"/>
    </row>
    <row r="51" spans="1:18" ht="18.75">
      <c r="A51" s="10" t="s">
        <v>224</v>
      </c>
      <c r="B51" s="10" t="s">
        <v>152</v>
      </c>
      <c r="C51" s="10" t="s">
        <v>16</v>
      </c>
      <c r="D51" s="10">
        <v>0.12</v>
      </c>
      <c r="E51" s="10" t="s">
        <v>154</v>
      </c>
      <c r="F51" s="10" t="s">
        <v>16</v>
      </c>
      <c r="G51"/>
      <c r="H51" s="10" t="s">
        <v>72</v>
      </c>
      <c r="I51" s="10" t="s">
        <v>59</v>
      </c>
      <c r="J51" s="10" t="s">
        <v>43</v>
      </c>
      <c r="K51" s="10" t="s">
        <v>16</v>
      </c>
      <c r="L51" s="10" t="s">
        <v>16</v>
      </c>
      <c r="N51"/>
      <c r="O51"/>
      <c r="P51"/>
      <c r="Q51"/>
      <c r="R51"/>
    </row>
    <row r="52" spans="1:18" ht="18.75">
      <c r="A52" s="10" t="s">
        <v>225</v>
      </c>
      <c r="B52" s="10" t="s">
        <v>177</v>
      </c>
      <c r="C52" s="10" t="s">
        <v>226</v>
      </c>
      <c r="D52" s="10">
        <v>1.6459999999999999</v>
      </c>
      <c r="E52" s="10" t="s">
        <v>8</v>
      </c>
      <c r="F52" s="10" t="s">
        <v>16</v>
      </c>
      <c r="G52"/>
      <c r="H52" s="10" t="s">
        <v>73</v>
      </c>
      <c r="I52" s="10" t="s">
        <v>74</v>
      </c>
      <c r="J52" s="10" t="s">
        <v>45</v>
      </c>
      <c r="K52" s="10">
        <v>1.97</v>
      </c>
      <c r="L52" s="10" t="s">
        <v>16</v>
      </c>
      <c r="N52"/>
      <c r="O52"/>
      <c r="P52"/>
      <c r="Q52"/>
      <c r="R52"/>
    </row>
    <row r="53" spans="1:18" ht="18.75">
      <c r="A53" s="10" t="s">
        <v>227</v>
      </c>
      <c r="B53" s="10" t="s">
        <v>163</v>
      </c>
      <c r="C53" s="10" t="s">
        <v>228</v>
      </c>
      <c r="D53" s="10">
        <v>0.26600000000000001</v>
      </c>
      <c r="E53" s="10" t="s">
        <v>8</v>
      </c>
      <c r="F53" s="10" t="s">
        <v>16</v>
      </c>
      <c r="G53"/>
      <c r="H53" s="10" t="s">
        <v>75</v>
      </c>
      <c r="I53" s="10" t="s">
        <v>74</v>
      </c>
      <c r="J53" s="10" t="s">
        <v>14</v>
      </c>
      <c r="K53" s="10">
        <v>13.3</v>
      </c>
      <c r="L53" s="10" t="s">
        <v>16</v>
      </c>
      <c r="N53"/>
      <c r="O53"/>
      <c r="P53"/>
      <c r="Q53"/>
      <c r="R53"/>
    </row>
    <row r="54" spans="1:18" ht="18.75">
      <c r="A54" s="10" t="s">
        <v>229</v>
      </c>
      <c r="B54" s="10" t="s">
        <v>230</v>
      </c>
      <c r="C54" s="10" t="s">
        <v>231</v>
      </c>
      <c r="D54" s="10">
        <v>6.6000000000000003E-2</v>
      </c>
      <c r="E54" s="10" t="s">
        <v>8</v>
      </c>
      <c r="F54" s="10" t="s">
        <v>16</v>
      </c>
      <c r="G54"/>
      <c r="H54" s="10" t="s">
        <v>76</v>
      </c>
      <c r="I54" s="10" t="s">
        <v>74</v>
      </c>
      <c r="J54" s="10" t="s">
        <v>45</v>
      </c>
      <c r="K54" s="10">
        <v>1.22</v>
      </c>
      <c r="L54" s="10" t="s">
        <v>16</v>
      </c>
      <c r="N54"/>
      <c r="O54"/>
      <c r="P54"/>
      <c r="Q54"/>
      <c r="R54"/>
    </row>
    <row r="55" spans="1:18" ht="18.75">
      <c r="A55" s="10" t="s">
        <v>232</v>
      </c>
      <c r="B55" s="10" t="s">
        <v>230</v>
      </c>
      <c r="C55" s="10" t="s">
        <v>231</v>
      </c>
      <c r="D55" s="10">
        <v>6.4000000000000001E-2</v>
      </c>
      <c r="E55" s="10" t="s">
        <v>8</v>
      </c>
      <c r="F55" s="10" t="s">
        <v>16</v>
      </c>
      <c r="G55"/>
      <c r="H55" s="10" t="s">
        <v>77</v>
      </c>
      <c r="I55" s="10" t="s">
        <v>74</v>
      </c>
      <c r="J55" s="10" t="s">
        <v>14</v>
      </c>
      <c r="K55" s="10">
        <v>2.61</v>
      </c>
      <c r="L55" s="10" t="s">
        <v>16</v>
      </c>
      <c r="N55"/>
      <c r="O55"/>
      <c r="P55"/>
      <c r="Q55"/>
      <c r="R55"/>
    </row>
    <row r="56" spans="1:18" ht="18.75">
      <c r="A56" s="10" t="s">
        <v>233</v>
      </c>
      <c r="B56" s="10" t="s">
        <v>230</v>
      </c>
      <c r="C56" s="10" t="s">
        <v>234</v>
      </c>
      <c r="D56" s="10">
        <v>0.124</v>
      </c>
      <c r="E56" s="10" t="s">
        <v>8</v>
      </c>
      <c r="F56" s="10" t="s">
        <v>16</v>
      </c>
      <c r="G56"/>
      <c r="H56" s="10" t="s">
        <v>78</v>
      </c>
      <c r="I56" s="10" t="s">
        <v>74</v>
      </c>
      <c r="J56" s="10" t="s">
        <v>45</v>
      </c>
      <c r="K56" s="10">
        <v>3.05</v>
      </c>
      <c r="L56" s="10" t="s">
        <v>16</v>
      </c>
      <c r="N56"/>
      <c r="O56"/>
      <c r="P56"/>
      <c r="Q56"/>
      <c r="R56"/>
    </row>
    <row r="57" spans="1:18" ht="18.75">
      <c r="A57" s="10" t="s">
        <v>235</v>
      </c>
      <c r="B57" s="10" t="s">
        <v>230</v>
      </c>
      <c r="C57" s="10" t="s">
        <v>236</v>
      </c>
      <c r="D57" s="10">
        <v>0.182</v>
      </c>
      <c r="E57" s="10" t="s">
        <v>8</v>
      </c>
      <c r="F57" s="10" t="s">
        <v>16</v>
      </c>
      <c r="G57"/>
      <c r="H57" s="10" t="s">
        <v>79</v>
      </c>
      <c r="I57" s="10" t="s">
        <v>80</v>
      </c>
      <c r="J57" s="10" t="s">
        <v>81</v>
      </c>
      <c r="K57" s="10">
        <v>3.62</v>
      </c>
      <c r="L57" s="10" t="s">
        <v>16</v>
      </c>
      <c r="N57"/>
      <c r="O57"/>
      <c r="P57"/>
      <c r="Q57"/>
      <c r="R57"/>
    </row>
    <row r="58" spans="1:18" ht="18.75">
      <c r="A58" s="10" t="s">
        <v>237</v>
      </c>
      <c r="B58" s="10" t="s">
        <v>230</v>
      </c>
      <c r="C58" s="10" t="s">
        <v>238</v>
      </c>
      <c r="D58" s="10">
        <v>0.11</v>
      </c>
      <c r="E58" s="10" t="s">
        <v>8</v>
      </c>
      <c r="F58" s="10" t="s">
        <v>16</v>
      </c>
      <c r="G58"/>
      <c r="H58" s="10" t="s">
        <v>82</v>
      </c>
      <c r="I58" s="10" t="s">
        <v>80</v>
      </c>
      <c r="J58" s="10" t="s">
        <v>14</v>
      </c>
      <c r="K58" s="10">
        <v>1.92</v>
      </c>
      <c r="L58" s="10" t="s">
        <v>16</v>
      </c>
      <c r="N58"/>
      <c r="O58"/>
      <c r="P58"/>
      <c r="Q58"/>
      <c r="R58"/>
    </row>
    <row r="59" spans="1:18" ht="18.75">
      <c r="A59" s="10" t="s">
        <v>239</v>
      </c>
      <c r="B59" s="10" t="s">
        <v>177</v>
      </c>
      <c r="C59" s="10" t="s">
        <v>240</v>
      </c>
      <c r="D59" s="10">
        <v>1.954</v>
      </c>
      <c r="E59" s="10" t="s">
        <v>8</v>
      </c>
      <c r="F59" s="10" t="s">
        <v>16</v>
      </c>
      <c r="G59"/>
      <c r="H59" s="10" t="s">
        <v>83</v>
      </c>
      <c r="I59" s="10" t="s">
        <v>80</v>
      </c>
      <c r="J59" s="10" t="s">
        <v>84</v>
      </c>
      <c r="K59" s="10">
        <v>4.71</v>
      </c>
      <c r="L59" s="10" t="s">
        <v>16</v>
      </c>
      <c r="N59"/>
      <c r="O59"/>
      <c r="P59"/>
      <c r="Q59"/>
      <c r="R59"/>
    </row>
    <row r="60" spans="1:18" ht="18.75">
      <c r="A60" s="10" t="s">
        <v>241</v>
      </c>
      <c r="B60" s="10" t="s">
        <v>152</v>
      </c>
      <c r="C60" s="10" t="s">
        <v>16</v>
      </c>
      <c r="D60" s="10">
        <v>0.09</v>
      </c>
      <c r="E60" s="10" t="s">
        <v>8</v>
      </c>
      <c r="F60" s="10" t="s">
        <v>16</v>
      </c>
      <c r="G60"/>
      <c r="H60" s="10" t="s">
        <v>85</v>
      </c>
      <c r="I60" s="10" t="s">
        <v>80</v>
      </c>
      <c r="J60" s="10" t="s">
        <v>86</v>
      </c>
      <c r="K60" s="10">
        <v>2.52</v>
      </c>
      <c r="L60" s="10" t="s">
        <v>16</v>
      </c>
      <c r="N60"/>
      <c r="O60"/>
      <c r="P60"/>
      <c r="Q60"/>
      <c r="R60"/>
    </row>
    <row r="61" spans="1:18" ht="18.75">
      <c r="A61" s="10" t="s">
        <v>242</v>
      </c>
      <c r="B61" s="10" t="s">
        <v>152</v>
      </c>
      <c r="C61" s="10" t="s">
        <v>16</v>
      </c>
      <c r="D61" s="10">
        <v>0.16600000000000001</v>
      </c>
      <c r="E61" s="10" t="s">
        <v>8</v>
      </c>
      <c r="F61" s="10" t="s">
        <v>16</v>
      </c>
      <c r="G61"/>
      <c r="H61" s="10" t="s">
        <v>87</v>
      </c>
      <c r="I61" s="10" t="s">
        <v>80</v>
      </c>
      <c r="J61" s="10" t="s">
        <v>88</v>
      </c>
      <c r="K61" s="10">
        <v>0.12</v>
      </c>
      <c r="L61" s="10" t="s">
        <v>16</v>
      </c>
      <c r="N61"/>
      <c r="O61"/>
      <c r="P61"/>
      <c r="Q61"/>
      <c r="R61"/>
    </row>
    <row r="62" spans="1:18" ht="18.75">
      <c r="A62" s="10" t="s">
        <v>243</v>
      </c>
      <c r="B62" s="10" t="s">
        <v>152</v>
      </c>
      <c r="C62" s="10" t="s">
        <v>16</v>
      </c>
      <c r="D62" s="10">
        <v>0</v>
      </c>
      <c r="E62" s="10" t="s">
        <v>8</v>
      </c>
      <c r="F62" s="10" t="s">
        <v>16</v>
      </c>
      <c r="G62"/>
      <c r="H62" s="10" t="s">
        <v>89</v>
      </c>
      <c r="I62" s="10" t="s">
        <v>90</v>
      </c>
      <c r="J62" s="10" t="s">
        <v>45</v>
      </c>
      <c r="K62" s="10">
        <v>0.64</v>
      </c>
      <c r="L62" s="10" t="s">
        <v>16</v>
      </c>
      <c r="N62"/>
      <c r="O62"/>
      <c r="P62"/>
      <c r="Q62"/>
      <c r="R62"/>
    </row>
    <row r="63" spans="1:18" ht="18.75">
      <c r="A63" s="10" t="s">
        <v>244</v>
      </c>
      <c r="B63" s="10" t="s">
        <v>152</v>
      </c>
      <c r="C63" s="10" t="s">
        <v>16</v>
      </c>
      <c r="D63" s="10">
        <v>0.17</v>
      </c>
      <c r="E63" s="10" t="s">
        <v>154</v>
      </c>
      <c r="F63" s="10" t="s">
        <v>16</v>
      </c>
      <c r="G63"/>
      <c r="H63" s="10" t="s">
        <v>91</v>
      </c>
      <c r="I63" s="10" t="s">
        <v>91</v>
      </c>
      <c r="J63" s="10" t="s">
        <v>84</v>
      </c>
      <c r="K63" s="10">
        <v>7.5</v>
      </c>
      <c r="L63" s="10" t="s">
        <v>16</v>
      </c>
      <c r="N63"/>
      <c r="O63"/>
      <c r="P63"/>
      <c r="Q63"/>
      <c r="R63"/>
    </row>
    <row r="64" spans="1:18" ht="18.75">
      <c r="A64" s="10" t="s">
        <v>245</v>
      </c>
      <c r="B64" s="10" t="s">
        <v>152</v>
      </c>
      <c r="C64" s="10" t="s">
        <v>16</v>
      </c>
      <c r="D64" s="10">
        <v>0.17</v>
      </c>
      <c r="E64" s="10" t="s">
        <v>154</v>
      </c>
      <c r="F64" s="10" t="s">
        <v>16</v>
      </c>
      <c r="G64"/>
      <c r="H64" s="10" t="s">
        <v>92</v>
      </c>
      <c r="I64" s="10" t="s">
        <v>93</v>
      </c>
      <c r="J64" s="10" t="s">
        <v>84</v>
      </c>
      <c r="K64" s="10">
        <v>3.73</v>
      </c>
      <c r="L64" s="10" t="s">
        <v>16</v>
      </c>
      <c r="N64"/>
      <c r="O64"/>
      <c r="P64"/>
      <c r="Q64"/>
      <c r="R64"/>
    </row>
    <row r="65" spans="1:18" ht="18.75">
      <c r="A65" s="10" t="s">
        <v>246</v>
      </c>
      <c r="B65" s="10" t="s">
        <v>152</v>
      </c>
      <c r="C65" s="10" t="s">
        <v>16</v>
      </c>
      <c r="D65" s="10">
        <v>0.17</v>
      </c>
      <c r="E65" s="10" t="s">
        <v>154</v>
      </c>
      <c r="F65" s="10" t="s">
        <v>16</v>
      </c>
      <c r="G65"/>
      <c r="H65" s="10" t="s">
        <v>94</v>
      </c>
      <c r="I65" s="10" t="s">
        <v>93</v>
      </c>
      <c r="J65" s="10" t="s">
        <v>84</v>
      </c>
      <c r="K65" s="10">
        <v>15.47</v>
      </c>
      <c r="L65" s="10" t="s">
        <v>16</v>
      </c>
      <c r="N65"/>
      <c r="O65"/>
      <c r="P65"/>
      <c r="Q65"/>
      <c r="R65"/>
    </row>
    <row r="66" spans="1:18" ht="18.75">
      <c r="A66" s="10" t="s">
        <v>247</v>
      </c>
      <c r="B66" s="10" t="s">
        <v>188</v>
      </c>
      <c r="C66" s="10" t="s">
        <v>248</v>
      </c>
      <c r="D66" s="10">
        <v>0.35</v>
      </c>
      <c r="E66" s="10" t="s">
        <v>154</v>
      </c>
      <c r="F66" s="10" t="s">
        <v>16</v>
      </c>
      <c r="G66"/>
      <c r="H66" s="10" t="s">
        <v>95</v>
      </c>
      <c r="I66" s="10" t="s">
        <v>96</v>
      </c>
      <c r="J66" s="10" t="s">
        <v>45</v>
      </c>
      <c r="K66" s="10">
        <v>3.58</v>
      </c>
      <c r="L66" s="10" t="s">
        <v>16</v>
      </c>
      <c r="N66"/>
      <c r="O66"/>
      <c r="P66"/>
      <c r="Q66"/>
      <c r="R66"/>
    </row>
    <row r="67" spans="1:18" ht="18.75">
      <c r="A67" s="10" t="s">
        <v>249</v>
      </c>
      <c r="B67" s="10" t="s">
        <v>188</v>
      </c>
      <c r="C67" s="10" t="s">
        <v>250</v>
      </c>
      <c r="D67" s="10">
        <v>1.012</v>
      </c>
      <c r="E67" s="10" t="s">
        <v>8</v>
      </c>
      <c r="F67" s="10" t="s">
        <v>16</v>
      </c>
      <c r="G67"/>
      <c r="H67" s="10" t="s">
        <v>97</v>
      </c>
      <c r="I67" s="10" t="s">
        <v>96</v>
      </c>
      <c r="J67" s="10" t="s">
        <v>45</v>
      </c>
      <c r="K67" s="10">
        <v>2.6</v>
      </c>
      <c r="L67" s="10" t="s">
        <v>16</v>
      </c>
      <c r="N67"/>
      <c r="O67"/>
      <c r="P67"/>
      <c r="Q67"/>
      <c r="R67"/>
    </row>
    <row r="68" spans="1:18" ht="18.75">
      <c r="A68" s="10" t="s">
        <v>251</v>
      </c>
      <c r="B68" s="10" t="s">
        <v>163</v>
      </c>
      <c r="C68" s="10" t="s">
        <v>16</v>
      </c>
      <c r="D68" s="10">
        <v>14.208</v>
      </c>
      <c r="E68" s="10" t="s">
        <v>8</v>
      </c>
      <c r="F68" s="10" t="s">
        <v>16</v>
      </c>
      <c r="G68"/>
      <c r="H68" s="10" t="s">
        <v>98</v>
      </c>
      <c r="I68" s="10" t="s">
        <v>96</v>
      </c>
      <c r="J68" s="10" t="s">
        <v>45</v>
      </c>
      <c r="K68" s="10">
        <v>2.15</v>
      </c>
      <c r="L68" s="10" t="s">
        <v>16</v>
      </c>
      <c r="N68"/>
      <c r="O68"/>
      <c r="P68"/>
      <c r="Q68"/>
      <c r="R68"/>
    </row>
    <row r="69" spans="1:18" ht="18.75">
      <c r="A69" s="10" t="s">
        <v>252</v>
      </c>
      <c r="B69" s="10" t="s">
        <v>163</v>
      </c>
      <c r="C69" s="10" t="s">
        <v>253</v>
      </c>
      <c r="D69" s="10">
        <v>2.9660000000000002</v>
      </c>
      <c r="E69" s="10" t="s">
        <v>8</v>
      </c>
      <c r="F69" s="10" t="s">
        <v>16</v>
      </c>
      <c r="G69"/>
      <c r="H69" s="10" t="s">
        <v>99</v>
      </c>
      <c r="I69" s="10" t="s">
        <v>100</v>
      </c>
      <c r="J69" s="10" t="s">
        <v>45</v>
      </c>
      <c r="K69" s="10">
        <v>1.26</v>
      </c>
      <c r="L69" s="10" t="s">
        <v>16</v>
      </c>
      <c r="N69"/>
      <c r="O69"/>
      <c r="P69"/>
      <c r="Q69"/>
      <c r="R69"/>
    </row>
    <row r="70" spans="1:18" ht="18.75">
      <c r="A70" s="10" t="s">
        <v>254</v>
      </c>
      <c r="B70" s="10" t="s">
        <v>163</v>
      </c>
      <c r="C70" s="10" t="s">
        <v>255</v>
      </c>
      <c r="D70" s="10">
        <v>3.64</v>
      </c>
      <c r="E70" s="10" t="s">
        <v>8</v>
      </c>
      <c r="F70" s="10" t="s">
        <v>16</v>
      </c>
      <c r="G70"/>
      <c r="H70" s="10" t="s">
        <v>101</v>
      </c>
      <c r="I70" s="10" t="s">
        <v>100</v>
      </c>
      <c r="J70" s="10" t="s">
        <v>45</v>
      </c>
      <c r="K70" s="10">
        <v>1.63</v>
      </c>
      <c r="L70" s="10" t="s">
        <v>16</v>
      </c>
      <c r="N70"/>
      <c r="O70"/>
      <c r="P70"/>
      <c r="Q70"/>
      <c r="R70"/>
    </row>
    <row r="71" spans="1:18" ht="18.75">
      <c r="A71" s="10" t="s">
        <v>256</v>
      </c>
      <c r="B71" s="10" t="s">
        <v>174</v>
      </c>
      <c r="C71" s="10" t="s">
        <v>257</v>
      </c>
      <c r="D71" s="10">
        <v>2.262</v>
      </c>
      <c r="E71" s="10" t="s">
        <v>8</v>
      </c>
      <c r="F71" s="10" t="s">
        <v>16</v>
      </c>
      <c r="G71"/>
      <c r="H71" s="10" t="s">
        <v>102</v>
      </c>
      <c r="I71" s="10" t="s">
        <v>93</v>
      </c>
      <c r="J71" s="10" t="s">
        <v>103</v>
      </c>
      <c r="K71" s="10">
        <v>3.52</v>
      </c>
      <c r="L71" s="10" t="s">
        <v>16</v>
      </c>
      <c r="N71"/>
      <c r="O71"/>
      <c r="P71"/>
      <c r="Q71"/>
      <c r="R71"/>
    </row>
    <row r="72" spans="1:18" ht="18.75">
      <c r="A72" s="10" t="s">
        <v>258</v>
      </c>
      <c r="B72" s="10" t="s">
        <v>163</v>
      </c>
      <c r="C72" s="10" t="s">
        <v>259</v>
      </c>
      <c r="D72" s="10">
        <v>6.8440000000000003</v>
      </c>
      <c r="E72" s="10" t="s">
        <v>8</v>
      </c>
      <c r="F72" s="10" t="s">
        <v>16</v>
      </c>
      <c r="G72"/>
      <c r="H72" s="10" t="s">
        <v>104</v>
      </c>
      <c r="I72" s="10" t="s">
        <v>93</v>
      </c>
      <c r="J72" s="10" t="s">
        <v>105</v>
      </c>
      <c r="K72" s="10">
        <v>7.54</v>
      </c>
      <c r="L72" s="10" t="s">
        <v>16</v>
      </c>
      <c r="N72"/>
      <c r="O72"/>
      <c r="P72"/>
      <c r="Q72"/>
      <c r="R72"/>
    </row>
    <row r="73" spans="1:18" ht="18.75">
      <c r="A73" s="10" t="s">
        <v>260</v>
      </c>
      <c r="B73" s="10" t="s">
        <v>188</v>
      </c>
      <c r="C73" s="10" t="s">
        <v>261</v>
      </c>
      <c r="D73" s="10">
        <v>0.32400000000000001</v>
      </c>
      <c r="E73" s="10" t="s">
        <v>8</v>
      </c>
      <c r="F73" s="10" t="s">
        <v>16</v>
      </c>
      <c r="G73"/>
      <c r="H73" s="10" t="s">
        <v>106</v>
      </c>
      <c r="I73" s="10" t="s">
        <v>93</v>
      </c>
      <c r="J73" s="10" t="s">
        <v>14</v>
      </c>
      <c r="K73" s="10">
        <v>4.7300000000000004</v>
      </c>
      <c r="L73" s="10" t="s">
        <v>16</v>
      </c>
      <c r="N73"/>
      <c r="O73"/>
      <c r="P73"/>
      <c r="Q73"/>
      <c r="R73"/>
    </row>
    <row r="74" spans="1:18" ht="18.75">
      <c r="A74" s="10" t="s">
        <v>262</v>
      </c>
      <c r="B74" s="10" t="s">
        <v>230</v>
      </c>
      <c r="C74" s="10" t="s">
        <v>16</v>
      </c>
      <c r="D74" s="10">
        <v>0.53</v>
      </c>
      <c r="E74" s="10" t="s">
        <v>8</v>
      </c>
      <c r="F74" s="10" t="s">
        <v>16</v>
      </c>
      <c r="G74"/>
      <c r="H74" s="10" t="s">
        <v>107</v>
      </c>
      <c r="I74" s="10" t="s">
        <v>80</v>
      </c>
      <c r="J74" s="10" t="s">
        <v>14</v>
      </c>
      <c r="K74" s="10">
        <v>2.52</v>
      </c>
      <c r="L74" s="10" t="s">
        <v>16</v>
      </c>
      <c r="N74"/>
      <c r="O74"/>
      <c r="P74"/>
      <c r="Q74"/>
      <c r="R74"/>
    </row>
    <row r="75" spans="1:18" ht="18.75">
      <c r="A75" s="10" t="s">
        <v>263</v>
      </c>
      <c r="B75" s="10" t="s">
        <v>152</v>
      </c>
      <c r="C75" s="10" t="s">
        <v>264</v>
      </c>
      <c r="D75" s="10">
        <v>1.18</v>
      </c>
      <c r="E75" s="10" t="s">
        <v>154</v>
      </c>
      <c r="F75" s="10" t="s">
        <v>16</v>
      </c>
      <c r="G75"/>
      <c r="H75" s="10" t="s">
        <v>108</v>
      </c>
      <c r="I75" s="10" t="s">
        <v>109</v>
      </c>
      <c r="J75" s="10" t="s">
        <v>35</v>
      </c>
      <c r="K75" s="10">
        <v>10.029999999999999</v>
      </c>
      <c r="L75" s="10" t="s">
        <v>16</v>
      </c>
      <c r="N75"/>
      <c r="O75"/>
      <c r="P75"/>
      <c r="Q75"/>
      <c r="R75"/>
    </row>
    <row r="76" spans="1:18" ht="18.75">
      <c r="A76" s="10" t="s">
        <v>265</v>
      </c>
      <c r="B76" s="10" t="s">
        <v>177</v>
      </c>
      <c r="C76" s="10" t="s">
        <v>266</v>
      </c>
      <c r="D76" s="10">
        <v>0.3</v>
      </c>
      <c r="E76" s="10" t="s">
        <v>8</v>
      </c>
      <c r="F76" s="10" t="s">
        <v>16</v>
      </c>
      <c r="G76"/>
      <c r="H76" s="10" t="s">
        <v>110</v>
      </c>
      <c r="I76" s="10" t="s">
        <v>109</v>
      </c>
      <c r="J76" s="10" t="s">
        <v>111</v>
      </c>
      <c r="K76" s="10">
        <v>0</v>
      </c>
      <c r="L76" s="10" t="s">
        <v>16</v>
      </c>
      <c r="N76"/>
      <c r="O76"/>
      <c r="P76"/>
      <c r="Q76"/>
      <c r="R76"/>
    </row>
    <row r="77" spans="1:18" ht="18.75">
      <c r="A77" s="10" t="s">
        <v>267</v>
      </c>
      <c r="B77" s="10" t="s">
        <v>152</v>
      </c>
      <c r="C77" s="10" t="s">
        <v>268</v>
      </c>
      <c r="D77" s="10">
        <v>1.1000000000000001</v>
      </c>
      <c r="E77" s="10" t="s">
        <v>154</v>
      </c>
      <c r="F77" s="10" t="s">
        <v>16</v>
      </c>
      <c r="G77"/>
      <c r="H77" s="10" t="s">
        <v>112</v>
      </c>
      <c r="I77" s="10" t="s">
        <v>113</v>
      </c>
      <c r="J77" s="10" t="s">
        <v>45</v>
      </c>
      <c r="K77" s="10">
        <v>1.04</v>
      </c>
      <c r="L77" s="10" t="s">
        <v>16</v>
      </c>
      <c r="N77"/>
      <c r="O77"/>
      <c r="P77"/>
      <c r="Q77"/>
      <c r="R77"/>
    </row>
    <row r="78" spans="1:18" ht="18.75">
      <c r="A78" s="10" t="s">
        <v>269</v>
      </c>
      <c r="B78" s="10" t="s">
        <v>152</v>
      </c>
      <c r="C78" s="10" t="s">
        <v>270</v>
      </c>
      <c r="D78" s="10">
        <v>1.21</v>
      </c>
      <c r="E78" s="10" t="s">
        <v>154</v>
      </c>
      <c r="F78" s="10" t="s">
        <v>16</v>
      </c>
      <c r="G78"/>
      <c r="H78" s="10" t="s">
        <v>114</v>
      </c>
      <c r="I78" s="10" t="s">
        <v>113</v>
      </c>
      <c r="J78" s="10" t="s">
        <v>45</v>
      </c>
      <c r="K78" s="10">
        <v>0.64</v>
      </c>
      <c r="L78" s="10" t="s">
        <v>16</v>
      </c>
      <c r="N78"/>
      <c r="O78"/>
      <c r="P78"/>
      <c r="Q78"/>
      <c r="R78"/>
    </row>
    <row r="79" spans="1:18" ht="18.75">
      <c r="A79" s="10" t="s">
        <v>271</v>
      </c>
      <c r="B79" s="10" t="s">
        <v>177</v>
      </c>
      <c r="C79" s="10" t="s">
        <v>272</v>
      </c>
      <c r="D79" s="10">
        <v>0.66200000000000003</v>
      </c>
      <c r="E79" s="10" t="s">
        <v>8</v>
      </c>
      <c r="F79" s="10" t="s">
        <v>16</v>
      </c>
      <c r="G79"/>
      <c r="H79" s="10" t="s">
        <v>115</v>
      </c>
      <c r="I79" s="10" t="s">
        <v>113</v>
      </c>
      <c r="J79" s="10" t="s">
        <v>14</v>
      </c>
      <c r="K79" s="10">
        <v>1.85</v>
      </c>
      <c r="L79" s="10" t="s">
        <v>16</v>
      </c>
      <c r="N79"/>
      <c r="O79"/>
      <c r="P79"/>
      <c r="Q79"/>
      <c r="R79"/>
    </row>
    <row r="80" spans="1:18" ht="18.75">
      <c r="A80" s="10" t="s">
        <v>273</v>
      </c>
      <c r="B80" s="10" t="s">
        <v>152</v>
      </c>
      <c r="C80" s="10" t="s">
        <v>16</v>
      </c>
      <c r="D80" s="10">
        <v>0.65600000000000003</v>
      </c>
      <c r="E80" s="10" t="s">
        <v>8</v>
      </c>
      <c r="F80" s="10" t="s">
        <v>16</v>
      </c>
      <c r="G80"/>
      <c r="H80" s="10" t="s">
        <v>116</v>
      </c>
      <c r="I80" s="10" t="s">
        <v>80</v>
      </c>
      <c r="J80" s="10" t="s">
        <v>14</v>
      </c>
      <c r="K80" s="10">
        <v>2.2799999999999998</v>
      </c>
      <c r="L80" s="10" t="s">
        <v>16</v>
      </c>
      <c r="N80"/>
      <c r="O80"/>
      <c r="P80"/>
      <c r="Q80"/>
      <c r="R80"/>
    </row>
    <row r="81" spans="1:18" ht="18.75">
      <c r="A81" s="10" t="s">
        <v>274</v>
      </c>
      <c r="B81" s="10" t="s">
        <v>188</v>
      </c>
      <c r="C81" s="10" t="s">
        <v>275</v>
      </c>
      <c r="D81" s="10">
        <v>1.03</v>
      </c>
      <c r="E81" s="10" t="s">
        <v>154</v>
      </c>
      <c r="F81" s="10" t="s">
        <v>16</v>
      </c>
      <c r="G81"/>
      <c r="H81" s="10" t="s">
        <v>117</v>
      </c>
      <c r="I81" s="10" t="s">
        <v>80</v>
      </c>
      <c r="J81" s="10" t="s">
        <v>14</v>
      </c>
      <c r="K81" s="10">
        <v>0.51</v>
      </c>
      <c r="L81" s="10" t="s">
        <v>16</v>
      </c>
      <c r="N81"/>
      <c r="O81"/>
      <c r="P81"/>
      <c r="Q81"/>
      <c r="R81"/>
    </row>
    <row r="82" spans="1:18" ht="18.75">
      <c r="A82" s="10" t="s">
        <v>276</v>
      </c>
      <c r="B82" s="10" t="s">
        <v>188</v>
      </c>
      <c r="C82" s="10" t="s">
        <v>16</v>
      </c>
      <c r="D82" s="10">
        <v>0.06</v>
      </c>
      <c r="E82" s="10" t="s">
        <v>154</v>
      </c>
      <c r="F82" s="10" t="s">
        <v>16</v>
      </c>
      <c r="G82"/>
      <c r="H82" s="10" t="s">
        <v>118</v>
      </c>
      <c r="I82" s="10" t="s">
        <v>109</v>
      </c>
      <c r="J82" s="10" t="s">
        <v>45</v>
      </c>
      <c r="K82" s="10">
        <v>0.9</v>
      </c>
      <c r="L82" s="10" t="s">
        <v>16</v>
      </c>
      <c r="N82"/>
      <c r="O82"/>
      <c r="P82"/>
      <c r="Q82"/>
      <c r="R82"/>
    </row>
    <row r="83" spans="1:18" ht="18.75">
      <c r="A83" s="10" t="s">
        <v>277</v>
      </c>
      <c r="B83" s="10" t="s">
        <v>152</v>
      </c>
      <c r="C83" s="10" t="s">
        <v>16</v>
      </c>
      <c r="D83" s="10">
        <v>0.28999999999999998</v>
      </c>
      <c r="E83" s="10" t="s">
        <v>8</v>
      </c>
      <c r="F83" s="10" t="s">
        <v>16</v>
      </c>
      <c r="G83"/>
      <c r="H83" s="10" t="s">
        <v>119</v>
      </c>
      <c r="I83" s="10" t="s">
        <v>109</v>
      </c>
      <c r="J83" s="10" t="s">
        <v>45</v>
      </c>
      <c r="K83" s="10">
        <v>0.87</v>
      </c>
      <c r="L83" s="10" t="s">
        <v>16</v>
      </c>
      <c r="N83"/>
      <c r="O83"/>
      <c r="P83"/>
      <c r="Q83"/>
      <c r="R83"/>
    </row>
    <row r="84" spans="1:18" ht="18.75">
      <c r="A84" s="10" t="s">
        <v>278</v>
      </c>
      <c r="B84" s="10" t="s">
        <v>177</v>
      </c>
      <c r="C84" s="10" t="s">
        <v>279</v>
      </c>
      <c r="D84" s="10">
        <v>11.7</v>
      </c>
      <c r="E84" s="10" t="s">
        <v>8</v>
      </c>
      <c r="F84" s="10" t="s">
        <v>16</v>
      </c>
      <c r="G84"/>
      <c r="H84" s="10" t="s">
        <v>120</v>
      </c>
      <c r="I84" s="10" t="s">
        <v>93</v>
      </c>
      <c r="J84" s="10" t="s">
        <v>14</v>
      </c>
      <c r="K84" s="10">
        <v>3.23</v>
      </c>
      <c r="L84" s="10" t="s">
        <v>16</v>
      </c>
      <c r="N84"/>
      <c r="O84"/>
      <c r="P84"/>
      <c r="Q84"/>
      <c r="R84"/>
    </row>
    <row r="85" spans="1:18" ht="18.75">
      <c r="A85" s="10" t="s">
        <v>280</v>
      </c>
      <c r="B85" s="10" t="s">
        <v>188</v>
      </c>
      <c r="C85" s="10" t="s">
        <v>281</v>
      </c>
      <c r="D85" s="10">
        <v>4.3999999999999997E-2</v>
      </c>
      <c r="E85" s="10" t="s">
        <v>8</v>
      </c>
      <c r="F85" s="10" t="s">
        <v>16</v>
      </c>
      <c r="G85"/>
      <c r="H85" s="10" t="s">
        <v>121</v>
      </c>
      <c r="I85" s="10" t="s">
        <v>109</v>
      </c>
      <c r="J85" s="10" t="s">
        <v>122</v>
      </c>
      <c r="K85" s="10">
        <v>3.52</v>
      </c>
      <c r="L85" s="10" t="s">
        <v>16</v>
      </c>
      <c r="N85"/>
      <c r="O85"/>
      <c r="P85"/>
      <c r="Q85"/>
      <c r="R85"/>
    </row>
    <row r="86" spans="1:18" ht="18.75">
      <c r="A86" s="10" t="s">
        <v>282</v>
      </c>
      <c r="B86" s="10" t="s">
        <v>188</v>
      </c>
      <c r="C86" s="10" t="s">
        <v>283</v>
      </c>
      <c r="D86" s="10">
        <v>4.74</v>
      </c>
      <c r="E86" s="10" t="s">
        <v>154</v>
      </c>
      <c r="F86" s="10" t="s">
        <v>16</v>
      </c>
      <c r="G86"/>
      <c r="H86" s="10" t="s">
        <v>123</v>
      </c>
      <c r="I86" s="10" t="s">
        <v>124</v>
      </c>
      <c r="J86" s="10" t="s">
        <v>43</v>
      </c>
      <c r="K86" s="10">
        <v>0.79</v>
      </c>
      <c r="L86" s="10" t="s">
        <v>16</v>
      </c>
      <c r="N86"/>
      <c r="O86"/>
      <c r="P86"/>
      <c r="Q86"/>
      <c r="R86"/>
    </row>
    <row r="87" spans="1:18" ht="18.75">
      <c r="A87" s="10" t="s">
        <v>284</v>
      </c>
      <c r="B87" s="10" t="s">
        <v>188</v>
      </c>
      <c r="C87" s="10" t="s">
        <v>285</v>
      </c>
      <c r="D87" s="10">
        <v>0.372</v>
      </c>
      <c r="E87" s="10" t="s">
        <v>8</v>
      </c>
      <c r="F87" s="10" t="s">
        <v>16</v>
      </c>
      <c r="G87"/>
      <c r="H87" s="10" t="s">
        <v>125</v>
      </c>
      <c r="I87" s="10" t="s">
        <v>124</v>
      </c>
      <c r="J87" s="10" t="s">
        <v>43</v>
      </c>
      <c r="K87" s="10">
        <v>0.56999999999999995</v>
      </c>
      <c r="L87" s="10" t="s">
        <v>16</v>
      </c>
      <c r="N87"/>
      <c r="O87"/>
      <c r="P87"/>
      <c r="Q87"/>
      <c r="R87"/>
    </row>
    <row r="88" spans="1:18" ht="18.75">
      <c r="A88" s="10" t="s">
        <v>286</v>
      </c>
      <c r="B88" s="10" t="s">
        <v>188</v>
      </c>
      <c r="C88" s="10" t="s">
        <v>16</v>
      </c>
      <c r="D88" s="10">
        <v>0.2</v>
      </c>
      <c r="E88" s="10" t="s">
        <v>154</v>
      </c>
      <c r="F88" s="10" t="s">
        <v>16</v>
      </c>
      <c r="G88"/>
      <c r="H88" s="10" t="s">
        <v>126</v>
      </c>
      <c r="I88" s="10" t="s">
        <v>124</v>
      </c>
      <c r="J88" s="10" t="s">
        <v>43</v>
      </c>
      <c r="K88" s="10">
        <v>0.67</v>
      </c>
      <c r="L88" s="10" t="s">
        <v>16</v>
      </c>
      <c r="N88"/>
      <c r="O88"/>
      <c r="P88"/>
      <c r="Q88"/>
      <c r="R88"/>
    </row>
    <row r="89" spans="1:18" ht="18.75">
      <c r="A89" s="10" t="s">
        <v>287</v>
      </c>
      <c r="B89" s="10" t="s">
        <v>31</v>
      </c>
      <c r="C89" s="10" t="s">
        <v>288</v>
      </c>
      <c r="D89" s="10">
        <v>1.3360000000000001</v>
      </c>
      <c r="E89" s="10" t="s">
        <v>8</v>
      </c>
      <c r="F89" s="10" t="s">
        <v>16</v>
      </c>
      <c r="G89"/>
      <c r="H89" s="10" t="s">
        <v>127</v>
      </c>
      <c r="I89" s="10" t="s">
        <v>128</v>
      </c>
      <c r="J89" s="10" t="s">
        <v>43</v>
      </c>
      <c r="K89" s="10">
        <v>0.27</v>
      </c>
      <c r="L89" s="10" t="s">
        <v>16</v>
      </c>
      <c r="N89"/>
      <c r="O89"/>
      <c r="P89"/>
      <c r="Q89"/>
      <c r="R89"/>
    </row>
    <row r="90" spans="1:18" ht="18.75">
      <c r="A90" s="10" t="s">
        <v>289</v>
      </c>
      <c r="B90" s="10" t="s">
        <v>177</v>
      </c>
      <c r="C90" s="10" t="s">
        <v>290</v>
      </c>
      <c r="D90" s="10">
        <v>9.1180000000000003</v>
      </c>
      <c r="E90" s="10" t="s">
        <v>8</v>
      </c>
      <c r="F90" s="10" t="s">
        <v>16</v>
      </c>
      <c r="G90"/>
      <c r="H90" s="10" t="s">
        <v>129</v>
      </c>
      <c r="I90" s="10" t="s">
        <v>128</v>
      </c>
      <c r="J90" s="10" t="s">
        <v>43</v>
      </c>
      <c r="K90" s="10">
        <v>0.54</v>
      </c>
      <c r="L90" s="10" t="s">
        <v>16</v>
      </c>
      <c r="N90"/>
      <c r="O90"/>
      <c r="P90"/>
      <c r="Q90"/>
      <c r="R90"/>
    </row>
    <row r="91" spans="1:18" ht="18.75">
      <c r="A91" s="10" t="s">
        <v>291</v>
      </c>
      <c r="B91" s="10" t="s">
        <v>163</v>
      </c>
      <c r="C91" s="10" t="s">
        <v>16</v>
      </c>
      <c r="D91" s="10">
        <v>19.8</v>
      </c>
      <c r="E91" s="10" t="s">
        <v>8</v>
      </c>
      <c r="F91" s="10" t="s">
        <v>16</v>
      </c>
      <c r="G91"/>
      <c r="H91" s="10" t="s">
        <v>130</v>
      </c>
      <c r="I91" s="10" t="s">
        <v>128</v>
      </c>
      <c r="J91" s="10" t="s">
        <v>43</v>
      </c>
      <c r="K91" s="10">
        <v>0.54</v>
      </c>
      <c r="L91" s="10" t="s">
        <v>16</v>
      </c>
      <c r="N91"/>
      <c r="O91"/>
      <c r="P91"/>
      <c r="Q91"/>
      <c r="R91"/>
    </row>
    <row r="92" spans="1:18" ht="18.75">
      <c r="A92" s="10" t="s">
        <v>292</v>
      </c>
      <c r="B92" s="10" t="s">
        <v>152</v>
      </c>
      <c r="C92" s="10" t="s">
        <v>293</v>
      </c>
      <c r="D92" s="10">
        <v>2.72</v>
      </c>
      <c r="E92" s="10" t="s">
        <v>154</v>
      </c>
      <c r="F92" s="10" t="s">
        <v>16</v>
      </c>
      <c r="G92"/>
      <c r="H92" s="10" t="s">
        <v>131</v>
      </c>
      <c r="I92" s="10" t="s">
        <v>132</v>
      </c>
      <c r="J92" s="10" t="s">
        <v>45</v>
      </c>
      <c r="K92" s="10">
        <v>7.88</v>
      </c>
      <c r="L92" s="10" t="s">
        <v>16</v>
      </c>
      <c r="N92"/>
      <c r="O92"/>
      <c r="P92"/>
      <c r="Q92"/>
      <c r="R92"/>
    </row>
    <row r="93" spans="1:18" ht="18.75">
      <c r="A93" s="10" t="s">
        <v>294</v>
      </c>
      <c r="B93" s="10" t="s">
        <v>152</v>
      </c>
      <c r="C93" s="10" t="s">
        <v>295</v>
      </c>
      <c r="D93" s="10">
        <v>4.6100000000000003</v>
      </c>
      <c r="E93" s="10" t="s">
        <v>154</v>
      </c>
      <c r="F93" s="10" t="s">
        <v>16</v>
      </c>
      <c r="G93"/>
      <c r="H93" s="10" t="s">
        <v>133</v>
      </c>
      <c r="I93" s="10" t="s">
        <v>93</v>
      </c>
      <c r="J93" s="10" t="s">
        <v>45</v>
      </c>
      <c r="K93" s="10">
        <v>0.87</v>
      </c>
      <c r="L93" s="10" t="s">
        <v>16</v>
      </c>
      <c r="N93"/>
      <c r="O93"/>
      <c r="P93"/>
      <c r="Q93"/>
      <c r="R93"/>
    </row>
    <row r="94" spans="1:18" ht="18.75">
      <c r="A94" s="10" t="s">
        <v>296</v>
      </c>
      <c r="B94" s="10" t="s">
        <v>163</v>
      </c>
      <c r="C94" s="10" t="s">
        <v>16</v>
      </c>
      <c r="D94" s="10">
        <v>2.1240000000000001</v>
      </c>
      <c r="E94" s="10" t="s">
        <v>8</v>
      </c>
      <c r="F94" s="10" t="s">
        <v>16</v>
      </c>
      <c r="G94"/>
      <c r="H94" s="10" t="s">
        <v>134</v>
      </c>
      <c r="I94" s="10" t="s">
        <v>93</v>
      </c>
      <c r="J94" s="10" t="s">
        <v>45</v>
      </c>
      <c r="K94" s="10">
        <v>2.5299999999999998</v>
      </c>
      <c r="L94" s="10" t="s">
        <v>16</v>
      </c>
      <c r="N94"/>
      <c r="O94"/>
      <c r="P94"/>
      <c r="Q94"/>
      <c r="R94"/>
    </row>
    <row r="95" spans="1:18" ht="18.75">
      <c r="A95" s="10" t="s">
        <v>297</v>
      </c>
      <c r="B95" s="10" t="s">
        <v>163</v>
      </c>
      <c r="C95" s="10" t="s">
        <v>298</v>
      </c>
      <c r="D95" s="10">
        <v>3.5960000000000001</v>
      </c>
      <c r="E95" s="10" t="s">
        <v>8</v>
      </c>
      <c r="F95" s="10" t="s">
        <v>16</v>
      </c>
      <c r="G95"/>
      <c r="H95"/>
      <c r="I95"/>
      <c r="J95"/>
      <c r="N95"/>
      <c r="O95"/>
      <c r="P95"/>
      <c r="Q95"/>
      <c r="R95"/>
    </row>
    <row r="96" spans="1:18" ht="18.75">
      <c r="A96" s="10" t="s">
        <v>299</v>
      </c>
      <c r="B96" s="10" t="s">
        <v>163</v>
      </c>
      <c r="C96" s="10" t="s">
        <v>300</v>
      </c>
      <c r="D96" s="10">
        <v>13.272</v>
      </c>
      <c r="E96" s="10" t="s">
        <v>8</v>
      </c>
      <c r="F96" s="10" t="s">
        <v>16</v>
      </c>
      <c r="G96"/>
      <c r="H96"/>
      <c r="I96"/>
      <c r="J96"/>
      <c r="N96"/>
      <c r="O96"/>
      <c r="P96"/>
      <c r="Q96"/>
      <c r="R96"/>
    </row>
    <row r="97" spans="1:17" ht="18.75">
      <c r="A97" s="10" t="s">
        <v>301</v>
      </c>
      <c r="B97" s="10" t="s">
        <v>177</v>
      </c>
      <c r="C97" s="10" t="s">
        <v>302</v>
      </c>
      <c r="D97" s="10">
        <v>1.298</v>
      </c>
      <c r="E97" s="10" t="s">
        <v>8</v>
      </c>
      <c r="F97" s="10" t="s">
        <v>16</v>
      </c>
      <c r="G97"/>
      <c r="H97"/>
      <c r="I97"/>
      <c r="J97"/>
      <c r="N97"/>
      <c r="O97"/>
      <c r="P97"/>
      <c r="Q97"/>
    </row>
    <row r="98" spans="1:17" ht="18.75">
      <c r="A98" s="10" t="s">
        <v>303</v>
      </c>
      <c r="B98" s="10" t="s">
        <v>230</v>
      </c>
      <c r="C98" s="10" t="s">
        <v>16</v>
      </c>
      <c r="D98" s="10">
        <v>0.32</v>
      </c>
      <c r="E98" s="10" t="s">
        <v>8</v>
      </c>
      <c r="F98" s="10" t="s">
        <v>16</v>
      </c>
      <c r="G98"/>
      <c r="H98"/>
      <c r="I98"/>
      <c r="J98"/>
      <c r="N98"/>
      <c r="O98"/>
      <c r="P98"/>
      <c r="Q98"/>
    </row>
    <row r="99" spans="1:17" ht="18.75">
      <c r="A99" s="10" t="s">
        <v>304</v>
      </c>
      <c r="B99" s="10" t="s">
        <v>230</v>
      </c>
      <c r="C99" s="10" t="s">
        <v>16</v>
      </c>
      <c r="D99" s="10">
        <v>0.38200000000000001</v>
      </c>
      <c r="E99" s="10" t="s">
        <v>8</v>
      </c>
      <c r="F99" s="10" t="s">
        <v>16</v>
      </c>
      <c r="G99"/>
      <c r="H99"/>
      <c r="I99"/>
      <c r="J99"/>
      <c r="N99"/>
      <c r="O99"/>
      <c r="P99"/>
      <c r="Q99"/>
    </row>
    <row r="100" spans="1:17" ht="18.75">
      <c r="A100" s="10" t="s">
        <v>305</v>
      </c>
      <c r="B100" s="10" t="s">
        <v>188</v>
      </c>
      <c r="C100" s="10" t="s">
        <v>306</v>
      </c>
      <c r="D100" s="10">
        <v>0.56000000000000005</v>
      </c>
      <c r="E100" s="10" t="s">
        <v>8</v>
      </c>
      <c r="F100" s="10" t="s">
        <v>16</v>
      </c>
      <c r="G100"/>
      <c r="H100"/>
      <c r="I100"/>
      <c r="J100"/>
      <c r="N100"/>
      <c r="O100"/>
      <c r="P100"/>
      <c r="Q100"/>
    </row>
    <row r="101" spans="1:17" ht="18.75">
      <c r="A101" s="10" t="s">
        <v>307</v>
      </c>
      <c r="B101" s="10" t="s">
        <v>188</v>
      </c>
      <c r="C101" s="10" t="s">
        <v>308</v>
      </c>
      <c r="D101" s="10">
        <v>0.498</v>
      </c>
      <c r="E101" s="10" t="s">
        <v>8</v>
      </c>
      <c r="F101" s="10" t="s">
        <v>16</v>
      </c>
      <c r="G101"/>
      <c r="H101"/>
      <c r="I101"/>
      <c r="J101"/>
      <c r="N101"/>
      <c r="O101"/>
      <c r="P101"/>
      <c r="Q101"/>
    </row>
    <row r="102" spans="1:17" ht="18.75">
      <c r="A102" s="10" t="s">
        <v>309</v>
      </c>
      <c r="B102" s="10" t="s">
        <v>188</v>
      </c>
      <c r="C102" s="10" t="s">
        <v>310</v>
      </c>
      <c r="D102" s="10">
        <v>1.62</v>
      </c>
      <c r="E102" s="10" t="s">
        <v>154</v>
      </c>
      <c r="F102" s="10" t="s">
        <v>16</v>
      </c>
      <c r="G102"/>
      <c r="H102"/>
      <c r="I102"/>
      <c r="J102"/>
      <c r="N102"/>
      <c r="O102"/>
      <c r="P102"/>
      <c r="Q102"/>
    </row>
    <row r="103" spans="1:17" ht="18.75">
      <c r="A103" s="10" t="s">
        <v>311</v>
      </c>
      <c r="B103" s="10" t="s">
        <v>188</v>
      </c>
      <c r="C103" s="10" t="s">
        <v>312</v>
      </c>
      <c r="D103" s="10">
        <v>2.1</v>
      </c>
      <c r="E103" s="10" t="s">
        <v>154</v>
      </c>
      <c r="F103" s="10" t="s">
        <v>16</v>
      </c>
      <c r="G103"/>
      <c r="H103"/>
      <c r="I103"/>
      <c r="J103"/>
      <c r="N103"/>
      <c r="O103"/>
      <c r="P103"/>
      <c r="Q103"/>
    </row>
    <row r="104" spans="1:17" ht="18.75">
      <c r="A104" s="10" t="s">
        <v>313</v>
      </c>
      <c r="B104" s="10" t="s">
        <v>168</v>
      </c>
      <c r="C104" s="10" t="s">
        <v>314</v>
      </c>
      <c r="D104" s="10">
        <v>3.8439999999999999</v>
      </c>
      <c r="E104" s="10" t="s">
        <v>8</v>
      </c>
      <c r="F104" s="10" t="s">
        <v>16</v>
      </c>
      <c r="G104"/>
      <c r="H104"/>
      <c r="I104"/>
      <c r="J104"/>
      <c r="N104"/>
      <c r="O104"/>
      <c r="P104"/>
      <c r="Q104"/>
    </row>
    <row r="105" spans="1:17" ht="18.75">
      <c r="A105" s="10" t="s">
        <v>315</v>
      </c>
      <c r="B105" s="10" t="s">
        <v>152</v>
      </c>
      <c r="C105" s="10" t="s">
        <v>16</v>
      </c>
      <c r="D105" s="10">
        <v>0.69599999999999995</v>
      </c>
      <c r="E105" s="10" t="s">
        <v>8</v>
      </c>
      <c r="F105" s="10" t="s">
        <v>16</v>
      </c>
      <c r="G105"/>
      <c r="H105"/>
      <c r="I105"/>
      <c r="J105"/>
      <c r="N105"/>
      <c r="O105"/>
      <c r="P105"/>
      <c r="Q105"/>
    </row>
    <row r="106" spans="1:17" ht="18.75">
      <c r="A106" s="10" t="s">
        <v>316</v>
      </c>
      <c r="B106" s="10" t="s">
        <v>177</v>
      </c>
      <c r="C106" s="10" t="s">
        <v>317</v>
      </c>
      <c r="D106" s="10">
        <v>1.41</v>
      </c>
      <c r="E106" s="10" t="s">
        <v>8</v>
      </c>
      <c r="F106" s="10" t="s">
        <v>16</v>
      </c>
      <c r="G106"/>
      <c r="H106"/>
      <c r="I106"/>
      <c r="J106"/>
      <c r="N106"/>
      <c r="O106"/>
      <c r="P106"/>
      <c r="Q106"/>
    </row>
    <row r="107" spans="1:17" ht="18.75">
      <c r="A107" s="10" t="s">
        <v>318</v>
      </c>
      <c r="B107" s="10" t="s">
        <v>152</v>
      </c>
      <c r="C107" s="10" t="s">
        <v>16</v>
      </c>
      <c r="D107" s="10">
        <v>0.46600000000000003</v>
      </c>
      <c r="E107" s="10" t="s">
        <v>8</v>
      </c>
      <c r="F107" s="10" t="s">
        <v>16</v>
      </c>
      <c r="G107"/>
      <c r="H107"/>
      <c r="I107"/>
      <c r="J107"/>
      <c r="N107"/>
      <c r="O107"/>
      <c r="P107"/>
      <c r="Q107"/>
    </row>
    <row r="108" spans="1:17" ht="18.75">
      <c r="A108" s="10" t="s">
        <v>319</v>
      </c>
      <c r="B108" s="10" t="s">
        <v>168</v>
      </c>
      <c r="C108" s="10" t="s">
        <v>320</v>
      </c>
      <c r="D108" s="10">
        <v>1.24</v>
      </c>
      <c r="E108" s="10" t="s">
        <v>154</v>
      </c>
      <c r="F108" s="10" t="s">
        <v>16</v>
      </c>
      <c r="G108"/>
      <c r="H108"/>
      <c r="I108"/>
      <c r="J108"/>
      <c r="N108"/>
      <c r="O108"/>
      <c r="P108"/>
      <c r="Q108"/>
    </row>
    <row r="109" spans="1:17" ht="18.75">
      <c r="A109" s="10" t="s">
        <v>321</v>
      </c>
      <c r="B109" s="10" t="s">
        <v>168</v>
      </c>
      <c r="C109" s="10" t="s">
        <v>322</v>
      </c>
      <c r="D109" s="10">
        <v>2</v>
      </c>
      <c r="E109" s="10" t="s">
        <v>154</v>
      </c>
      <c r="F109" s="10" t="s">
        <v>16</v>
      </c>
      <c r="G109"/>
      <c r="H109"/>
      <c r="I109"/>
      <c r="J109"/>
      <c r="N109"/>
      <c r="O109"/>
      <c r="P109"/>
      <c r="Q109"/>
    </row>
    <row r="110" spans="1:17" ht="18.75">
      <c r="A110" s="10" t="s">
        <v>323</v>
      </c>
      <c r="B110" s="10" t="s">
        <v>168</v>
      </c>
      <c r="C110" s="10" t="s">
        <v>324</v>
      </c>
      <c r="D110" s="10">
        <v>1.28</v>
      </c>
      <c r="E110" s="10" t="s">
        <v>154</v>
      </c>
      <c r="F110" s="10" t="s">
        <v>16</v>
      </c>
      <c r="G110"/>
      <c r="H110"/>
      <c r="I110"/>
      <c r="J110"/>
      <c r="N110"/>
      <c r="O110"/>
      <c r="P110"/>
      <c r="Q110"/>
    </row>
    <row r="111" spans="1:17" ht="18.75">
      <c r="A111" s="10" t="s">
        <v>325</v>
      </c>
      <c r="B111" s="10" t="s">
        <v>168</v>
      </c>
      <c r="C111" s="10" t="s">
        <v>326</v>
      </c>
      <c r="D111" s="10">
        <v>1.47</v>
      </c>
      <c r="E111" s="10" t="s">
        <v>154</v>
      </c>
      <c r="F111" s="10" t="s">
        <v>16</v>
      </c>
      <c r="G111"/>
      <c r="H111"/>
      <c r="I111"/>
      <c r="J111"/>
      <c r="N111"/>
      <c r="O111"/>
      <c r="P111"/>
      <c r="Q111"/>
    </row>
    <row r="112" spans="1:17" ht="18.75">
      <c r="A112" s="10" t="s">
        <v>327</v>
      </c>
      <c r="B112" s="10" t="s">
        <v>177</v>
      </c>
      <c r="C112" s="10" t="s">
        <v>328</v>
      </c>
      <c r="D112" s="10">
        <v>3.3340000000000001</v>
      </c>
      <c r="E112" s="10" t="s">
        <v>8</v>
      </c>
      <c r="F112" s="10" t="s">
        <v>16</v>
      </c>
      <c r="G112"/>
      <c r="H112"/>
      <c r="I112"/>
      <c r="J112"/>
      <c r="N112"/>
      <c r="O112"/>
      <c r="P112"/>
      <c r="Q112"/>
    </row>
    <row r="113" spans="1:17" ht="18.75">
      <c r="A113" s="10" t="s">
        <v>329</v>
      </c>
      <c r="B113" s="10" t="s">
        <v>163</v>
      </c>
      <c r="C113" s="10" t="s">
        <v>16</v>
      </c>
      <c r="D113" s="10">
        <v>0.45800000000000002</v>
      </c>
      <c r="E113" s="10" t="s">
        <v>8</v>
      </c>
      <c r="F113" s="10" t="s">
        <v>16</v>
      </c>
      <c r="G113"/>
      <c r="H113"/>
      <c r="I113"/>
      <c r="J113"/>
      <c r="N113"/>
      <c r="O113"/>
      <c r="P113"/>
      <c r="Q113"/>
    </row>
    <row r="114" spans="1:17" ht="18.75">
      <c r="A114" s="10" t="s">
        <v>330</v>
      </c>
      <c r="B114" s="10" t="s">
        <v>163</v>
      </c>
      <c r="C114" s="10" t="s">
        <v>16</v>
      </c>
      <c r="D114" s="10">
        <v>0.42399999999999999</v>
      </c>
      <c r="E114" s="10" t="s">
        <v>8</v>
      </c>
      <c r="F114" s="10" t="s">
        <v>16</v>
      </c>
      <c r="G114"/>
      <c r="H114"/>
      <c r="I114"/>
      <c r="J114"/>
      <c r="N114"/>
      <c r="O114"/>
      <c r="P114"/>
      <c r="Q114"/>
    </row>
    <row r="115" spans="1:17" ht="18.75">
      <c r="A115" s="10" t="s">
        <v>331</v>
      </c>
      <c r="B115" s="10" t="s">
        <v>174</v>
      </c>
      <c r="C115" s="10" t="s">
        <v>332</v>
      </c>
      <c r="D115" s="10">
        <v>1.6879999999999999</v>
      </c>
      <c r="E115" s="10" t="s">
        <v>8</v>
      </c>
      <c r="F115" s="10" t="s">
        <v>16</v>
      </c>
      <c r="G115"/>
      <c r="H115"/>
      <c r="I115"/>
      <c r="J115"/>
      <c r="N115"/>
      <c r="O115"/>
      <c r="P115"/>
      <c r="Q115"/>
    </row>
    <row r="116" spans="1:17" ht="18.75">
      <c r="A116" s="10" t="s">
        <v>333</v>
      </c>
      <c r="B116" s="10" t="s">
        <v>174</v>
      </c>
      <c r="C116" s="10" t="s">
        <v>334</v>
      </c>
      <c r="D116" s="10">
        <v>5.1980000000000004</v>
      </c>
      <c r="E116" s="10" t="s">
        <v>8</v>
      </c>
      <c r="F116" s="10" t="s">
        <v>16</v>
      </c>
      <c r="G116"/>
      <c r="H116"/>
      <c r="I116"/>
      <c r="J116"/>
      <c r="N116"/>
      <c r="O116"/>
      <c r="P116"/>
      <c r="Q116"/>
    </row>
    <row r="117" spans="1:17" ht="18.75">
      <c r="A117" s="10" t="s">
        <v>335</v>
      </c>
      <c r="B117" s="10" t="s">
        <v>188</v>
      </c>
      <c r="C117" s="10" t="s">
        <v>336</v>
      </c>
      <c r="D117" s="10">
        <v>0.01</v>
      </c>
      <c r="E117" s="10" t="s">
        <v>154</v>
      </c>
      <c r="F117" s="10" t="s">
        <v>16</v>
      </c>
      <c r="G117"/>
      <c r="H117"/>
      <c r="I117"/>
      <c r="J117"/>
      <c r="N117"/>
      <c r="O117"/>
      <c r="P117"/>
      <c r="Q117"/>
    </row>
    <row r="118" spans="1:17" ht="18.75">
      <c r="A118" s="10" t="s">
        <v>337</v>
      </c>
      <c r="B118" s="10" t="s">
        <v>188</v>
      </c>
      <c r="C118" s="10" t="s">
        <v>336</v>
      </c>
      <c r="D118" s="10">
        <v>0.01</v>
      </c>
      <c r="E118" s="10" t="s">
        <v>154</v>
      </c>
      <c r="F118" s="10" t="s">
        <v>16</v>
      </c>
      <c r="G118"/>
      <c r="H118"/>
      <c r="I118"/>
      <c r="J118"/>
      <c r="N118"/>
      <c r="O118"/>
      <c r="P118"/>
      <c r="Q118"/>
    </row>
    <row r="119" spans="1:17" ht="18.75">
      <c r="A119" s="10" t="s">
        <v>338</v>
      </c>
      <c r="B119" s="10" t="s">
        <v>188</v>
      </c>
      <c r="C119" s="10" t="s">
        <v>336</v>
      </c>
      <c r="D119" s="10">
        <v>0.01</v>
      </c>
      <c r="E119" s="10" t="s">
        <v>154</v>
      </c>
      <c r="F119" s="10" t="s">
        <v>16</v>
      </c>
      <c r="G119"/>
      <c r="H119"/>
      <c r="I119"/>
      <c r="J119"/>
      <c r="N119"/>
      <c r="O119"/>
      <c r="P119"/>
      <c r="Q119"/>
    </row>
    <row r="120" spans="1:17" ht="18.75">
      <c r="A120" s="10" t="s">
        <v>339</v>
      </c>
      <c r="B120" s="10" t="s">
        <v>188</v>
      </c>
      <c r="C120" s="10" t="s">
        <v>336</v>
      </c>
      <c r="D120" s="10">
        <v>0.01</v>
      </c>
      <c r="E120" s="10" t="s">
        <v>154</v>
      </c>
      <c r="F120" s="10" t="s">
        <v>16</v>
      </c>
      <c r="G120"/>
      <c r="H120"/>
      <c r="I120"/>
      <c r="J120"/>
      <c r="N120"/>
      <c r="O120"/>
      <c r="P120"/>
      <c r="Q120"/>
    </row>
    <row r="121" spans="1:17" ht="18.75">
      <c r="A121" s="10" t="s">
        <v>340</v>
      </c>
      <c r="B121" s="10" t="s">
        <v>188</v>
      </c>
      <c r="C121" s="10" t="s">
        <v>336</v>
      </c>
      <c r="D121" s="10">
        <v>0.01</v>
      </c>
      <c r="E121" s="10" t="s">
        <v>154</v>
      </c>
      <c r="F121" s="10" t="s">
        <v>16</v>
      </c>
      <c r="G121"/>
      <c r="H121"/>
      <c r="I121"/>
      <c r="J121"/>
      <c r="N121"/>
      <c r="O121"/>
      <c r="P121"/>
      <c r="Q121"/>
    </row>
    <row r="122" spans="1:17" ht="18.75">
      <c r="A122" s="10" t="s">
        <v>341</v>
      </c>
      <c r="B122" s="10" t="s">
        <v>188</v>
      </c>
      <c r="C122" s="10" t="s">
        <v>336</v>
      </c>
      <c r="D122" s="10">
        <v>0.01</v>
      </c>
      <c r="E122" s="10" t="s">
        <v>154</v>
      </c>
      <c r="F122" s="10" t="s">
        <v>16</v>
      </c>
      <c r="G122"/>
      <c r="H122"/>
      <c r="I122"/>
      <c r="J122"/>
      <c r="N122"/>
      <c r="O122"/>
      <c r="P122"/>
      <c r="Q122"/>
    </row>
    <row r="123" spans="1:17">
      <c r="A123"/>
      <c r="B123"/>
      <c r="C123"/>
      <c r="D123"/>
      <c r="E123"/>
      <c r="F123"/>
      <c r="H123"/>
      <c r="I123"/>
      <c r="J123"/>
      <c r="N123"/>
      <c r="O123"/>
      <c r="P123"/>
      <c r="Q123"/>
    </row>
    <row r="124" spans="1:17">
      <c r="A124"/>
      <c r="B124"/>
      <c r="C124"/>
      <c r="H124"/>
      <c r="I124"/>
      <c r="J124"/>
      <c r="N124"/>
      <c r="O124"/>
      <c r="P124"/>
      <c r="Q124"/>
    </row>
    <row r="125" spans="1:17">
      <c r="A125"/>
      <c r="B125"/>
      <c r="C125"/>
      <c r="H125"/>
      <c r="I125"/>
      <c r="J125"/>
      <c r="N125"/>
      <c r="O125"/>
      <c r="P125"/>
      <c r="Q125"/>
    </row>
    <row r="126" spans="1:17">
      <c r="A126"/>
      <c r="B126"/>
      <c r="C126"/>
      <c r="H126"/>
      <c r="I126"/>
      <c r="J126"/>
      <c r="N126"/>
      <c r="O126"/>
      <c r="P126"/>
      <c r="Q126"/>
    </row>
    <row r="127" spans="1:17">
      <c r="A127"/>
      <c r="B127"/>
      <c r="C127"/>
      <c r="H127"/>
      <c r="I127"/>
      <c r="J127"/>
      <c r="N127"/>
      <c r="O127"/>
      <c r="P127"/>
      <c r="Q127"/>
    </row>
    <row r="128" spans="1:17">
      <c r="A128"/>
      <c r="B128"/>
      <c r="C128"/>
      <c r="H128"/>
      <c r="I128"/>
      <c r="J128"/>
      <c r="N128"/>
      <c r="O128"/>
      <c r="P128"/>
      <c r="Q128"/>
    </row>
    <row r="129" spans="1:17">
      <c r="A129"/>
      <c r="B129"/>
      <c r="C129"/>
      <c r="H129"/>
      <c r="I129"/>
      <c r="J129"/>
      <c r="N129"/>
      <c r="O129"/>
      <c r="P129"/>
      <c r="Q129"/>
    </row>
    <row r="130" spans="1:17">
      <c r="A130"/>
      <c r="B130"/>
      <c r="C130"/>
      <c r="H130"/>
      <c r="I130"/>
      <c r="J130"/>
      <c r="N130"/>
      <c r="O130"/>
      <c r="P130"/>
      <c r="Q130"/>
    </row>
    <row r="131" spans="1:17">
      <c r="A131"/>
      <c r="B131"/>
      <c r="C131"/>
      <c r="H131"/>
      <c r="I131"/>
      <c r="J131"/>
      <c r="N131"/>
      <c r="O131"/>
      <c r="P131"/>
      <c r="Q131"/>
    </row>
    <row r="132" spans="1:17">
      <c r="A132"/>
      <c r="B132"/>
      <c r="C132"/>
      <c r="H132"/>
      <c r="I132"/>
      <c r="J132"/>
      <c r="N132"/>
      <c r="O132"/>
      <c r="P132"/>
      <c r="Q132"/>
    </row>
    <row r="133" spans="1:17">
      <c r="A133"/>
      <c r="B133"/>
      <c r="C133"/>
      <c r="H133"/>
      <c r="I133"/>
      <c r="J133"/>
      <c r="N133"/>
      <c r="O133"/>
      <c r="P133"/>
      <c r="Q133"/>
    </row>
    <row r="134" spans="1:17">
      <c r="A134"/>
      <c r="B134"/>
      <c r="C134"/>
      <c r="H134"/>
      <c r="I134"/>
      <c r="J134"/>
      <c r="N134"/>
      <c r="O134"/>
      <c r="P134"/>
      <c r="Q134"/>
    </row>
    <row r="135" spans="1:17">
      <c r="A135"/>
      <c r="B135"/>
      <c r="C135"/>
      <c r="H135"/>
      <c r="I135"/>
      <c r="J135"/>
      <c r="N135"/>
      <c r="O135"/>
      <c r="P135"/>
      <c r="Q135"/>
    </row>
    <row r="136" spans="1:17">
      <c r="A136"/>
      <c r="B136"/>
      <c r="C136"/>
      <c r="H136"/>
      <c r="I136"/>
      <c r="J136"/>
      <c r="N136"/>
      <c r="O136"/>
      <c r="P136"/>
      <c r="Q136"/>
    </row>
    <row r="137" spans="1:17">
      <c r="A137"/>
      <c r="B137"/>
      <c r="C137"/>
      <c r="H137"/>
      <c r="I137"/>
      <c r="J137"/>
      <c r="N137"/>
      <c r="O137"/>
      <c r="P137"/>
      <c r="Q137"/>
    </row>
    <row r="138" spans="1:17">
      <c r="A138"/>
      <c r="B138"/>
      <c r="C138"/>
      <c r="H138"/>
      <c r="I138"/>
      <c r="J138"/>
      <c r="N138"/>
      <c r="O138"/>
      <c r="P138"/>
      <c r="Q138"/>
    </row>
    <row r="139" spans="1:17">
      <c r="A139"/>
      <c r="B139"/>
      <c r="C139"/>
      <c r="H139"/>
      <c r="I139"/>
      <c r="J139"/>
      <c r="N139"/>
      <c r="O139"/>
      <c r="P139"/>
      <c r="Q139"/>
    </row>
    <row r="140" spans="1:17">
      <c r="A140"/>
      <c r="B140"/>
      <c r="C140"/>
      <c r="H140"/>
      <c r="I140"/>
      <c r="J140"/>
      <c r="N140"/>
      <c r="O140"/>
      <c r="P140"/>
      <c r="Q140"/>
    </row>
    <row r="141" spans="1:17">
      <c r="A141"/>
      <c r="B141"/>
      <c r="C141"/>
      <c r="H141"/>
      <c r="I141"/>
      <c r="J141"/>
      <c r="N141"/>
      <c r="O141"/>
      <c r="P141"/>
      <c r="Q141"/>
    </row>
    <row r="142" spans="1:17">
      <c r="A142"/>
      <c r="B142"/>
      <c r="C142"/>
      <c r="H142"/>
      <c r="I142"/>
      <c r="J142"/>
      <c r="N142"/>
      <c r="O142"/>
      <c r="P142"/>
      <c r="Q142"/>
    </row>
    <row r="143" spans="1:17">
      <c r="A143"/>
      <c r="B143"/>
      <c r="C143"/>
      <c r="H143"/>
      <c r="I143"/>
      <c r="J143"/>
      <c r="N143"/>
      <c r="O143"/>
      <c r="P143"/>
      <c r="Q143"/>
    </row>
    <row r="144" spans="1:17">
      <c r="A144"/>
      <c r="B144"/>
      <c r="C144"/>
      <c r="H144"/>
      <c r="I144"/>
      <c r="J144"/>
      <c r="N144"/>
      <c r="O144"/>
      <c r="P144"/>
      <c r="Q144"/>
    </row>
    <row r="145" spans="1:17">
      <c r="A145"/>
      <c r="B145"/>
      <c r="C145"/>
      <c r="H145"/>
      <c r="I145"/>
      <c r="J145"/>
      <c r="N145"/>
      <c r="O145"/>
      <c r="P145"/>
      <c r="Q145"/>
    </row>
    <row r="146" spans="1:17">
      <c r="A146"/>
      <c r="B146"/>
      <c r="C146"/>
      <c r="H146"/>
      <c r="I146"/>
      <c r="J146"/>
      <c r="N146"/>
      <c r="O146"/>
      <c r="P146"/>
      <c r="Q146"/>
    </row>
    <row r="147" spans="1:17">
      <c r="A147"/>
      <c r="B147"/>
      <c r="C147"/>
      <c r="H147"/>
      <c r="I147"/>
      <c r="J147"/>
      <c r="N147"/>
      <c r="O147"/>
      <c r="P147"/>
      <c r="Q147"/>
    </row>
    <row r="148" spans="1:17">
      <c r="A148"/>
      <c r="B148"/>
      <c r="C148"/>
      <c r="H148"/>
      <c r="I148"/>
      <c r="J148"/>
      <c r="N148"/>
      <c r="O148"/>
      <c r="P148"/>
      <c r="Q148"/>
    </row>
    <row r="149" spans="1:17">
      <c r="A149"/>
      <c r="B149"/>
      <c r="C149"/>
      <c r="H149"/>
      <c r="I149"/>
      <c r="J149"/>
      <c r="N149"/>
      <c r="O149"/>
      <c r="P149"/>
      <c r="Q149"/>
    </row>
    <row r="150" spans="1:17">
      <c r="A150"/>
      <c r="B150"/>
      <c r="C150"/>
      <c r="H150"/>
      <c r="I150"/>
      <c r="J150"/>
      <c r="N150"/>
      <c r="O150"/>
      <c r="P150"/>
      <c r="Q150"/>
    </row>
    <row r="151" spans="1:17">
      <c r="A151"/>
      <c r="B151"/>
      <c r="C151"/>
      <c r="H151"/>
      <c r="I151"/>
      <c r="J151"/>
      <c r="N151"/>
      <c r="O151"/>
      <c r="P151"/>
      <c r="Q151"/>
    </row>
    <row r="152" spans="1:17">
      <c r="A152"/>
      <c r="B152"/>
      <c r="C152"/>
      <c r="H152"/>
      <c r="I152"/>
      <c r="J152"/>
      <c r="N152"/>
      <c r="O152"/>
      <c r="P152"/>
      <c r="Q152"/>
    </row>
    <row r="153" spans="1:17">
      <c r="A153"/>
      <c r="B153"/>
      <c r="C153"/>
      <c r="H153"/>
      <c r="I153"/>
      <c r="J153"/>
      <c r="N153"/>
      <c r="O153"/>
      <c r="P153"/>
      <c r="Q153"/>
    </row>
    <row r="154" spans="1:17">
      <c r="A154"/>
      <c r="B154"/>
      <c r="C154"/>
      <c r="H154"/>
      <c r="I154"/>
      <c r="J154"/>
      <c r="N154"/>
      <c r="O154"/>
      <c r="P154"/>
      <c r="Q154"/>
    </row>
    <row r="155" spans="1:17">
      <c r="A155"/>
      <c r="B155"/>
      <c r="C155"/>
      <c r="H155"/>
      <c r="I155"/>
      <c r="J155"/>
      <c r="N155"/>
      <c r="O155"/>
      <c r="P155"/>
      <c r="Q155"/>
    </row>
    <row r="156" spans="1:17">
      <c r="A156"/>
      <c r="B156"/>
      <c r="C156"/>
      <c r="H156"/>
      <c r="I156"/>
      <c r="J156"/>
      <c r="N156"/>
      <c r="O156"/>
      <c r="P156"/>
      <c r="Q156"/>
    </row>
    <row r="157" spans="1:17">
      <c r="A157"/>
      <c r="B157"/>
      <c r="C157"/>
      <c r="H157"/>
      <c r="I157"/>
      <c r="J157"/>
      <c r="N157"/>
      <c r="O157"/>
      <c r="P157"/>
      <c r="Q157"/>
    </row>
    <row r="158" spans="1:17">
      <c r="A158"/>
      <c r="B158"/>
      <c r="C158"/>
      <c r="H158"/>
      <c r="I158"/>
      <c r="J158"/>
      <c r="N158"/>
      <c r="O158"/>
      <c r="P158"/>
      <c r="Q158"/>
    </row>
    <row r="159" spans="1:17">
      <c r="A159"/>
      <c r="B159"/>
      <c r="C159"/>
      <c r="H159"/>
      <c r="I159"/>
      <c r="J159"/>
      <c r="N159"/>
      <c r="O159"/>
      <c r="P159"/>
      <c r="Q159"/>
    </row>
    <row r="160" spans="1:17">
      <c r="A160"/>
      <c r="B160"/>
      <c r="C160"/>
      <c r="H160"/>
      <c r="I160"/>
      <c r="J160"/>
      <c r="N160"/>
      <c r="O160"/>
      <c r="P160"/>
      <c r="Q160"/>
    </row>
    <row r="161" spans="1:17">
      <c r="A161"/>
      <c r="B161"/>
      <c r="C161"/>
      <c r="H161"/>
      <c r="I161"/>
      <c r="J161"/>
      <c r="N161"/>
      <c r="O161"/>
      <c r="P161"/>
      <c r="Q161"/>
    </row>
    <row r="162" spans="1:17">
      <c r="A162"/>
      <c r="B162"/>
      <c r="C162"/>
      <c r="H162"/>
      <c r="I162"/>
      <c r="J162"/>
      <c r="N162"/>
      <c r="O162"/>
      <c r="P162"/>
      <c r="Q162"/>
    </row>
    <row r="163" spans="1:17">
      <c r="A163"/>
      <c r="B163"/>
      <c r="C163"/>
      <c r="H163"/>
      <c r="I163"/>
      <c r="J163"/>
      <c r="N163"/>
      <c r="O163"/>
      <c r="P163"/>
      <c r="Q163"/>
    </row>
    <row r="164" spans="1:17">
      <c r="A164"/>
      <c r="B164"/>
      <c r="C164"/>
      <c r="H164"/>
      <c r="I164"/>
      <c r="J164"/>
      <c r="N164"/>
      <c r="O164"/>
      <c r="P164"/>
      <c r="Q164"/>
    </row>
    <row r="165" spans="1:17">
      <c r="A165"/>
      <c r="B165"/>
      <c r="C165"/>
      <c r="H165"/>
      <c r="I165"/>
      <c r="J165"/>
      <c r="N165"/>
      <c r="O165"/>
      <c r="P165"/>
      <c r="Q165"/>
    </row>
    <row r="166" spans="1:17">
      <c r="A166"/>
      <c r="B166"/>
      <c r="C166"/>
      <c r="H166"/>
      <c r="I166"/>
      <c r="J166"/>
      <c r="N166"/>
      <c r="O166"/>
      <c r="P166"/>
      <c r="Q166"/>
    </row>
    <row r="167" spans="1:17">
      <c r="A167"/>
      <c r="B167"/>
      <c r="C167"/>
      <c r="H167"/>
      <c r="I167"/>
      <c r="J167"/>
      <c r="N167"/>
      <c r="O167"/>
      <c r="P167"/>
      <c r="Q167"/>
    </row>
    <row r="168" spans="1:17">
      <c r="A168"/>
      <c r="B168"/>
      <c r="C168"/>
      <c r="H168"/>
      <c r="I168"/>
      <c r="J168"/>
      <c r="N168"/>
      <c r="O168"/>
      <c r="P168"/>
      <c r="Q168"/>
    </row>
    <row r="169" spans="1:17">
      <c r="A169"/>
      <c r="B169"/>
      <c r="C169"/>
      <c r="H169"/>
      <c r="I169"/>
      <c r="J169"/>
      <c r="N169"/>
      <c r="O169"/>
      <c r="P169"/>
      <c r="Q169"/>
    </row>
    <row r="170" spans="1:17">
      <c r="A170"/>
      <c r="B170"/>
      <c r="C170"/>
      <c r="H170"/>
      <c r="I170"/>
      <c r="J170"/>
      <c r="N170"/>
      <c r="O170"/>
      <c r="P170"/>
      <c r="Q170"/>
    </row>
    <row r="171" spans="1:17">
      <c r="A171"/>
      <c r="B171"/>
      <c r="C171"/>
      <c r="H171"/>
      <c r="I171"/>
      <c r="J171"/>
      <c r="N171"/>
      <c r="O171"/>
      <c r="P171"/>
      <c r="Q171"/>
    </row>
    <row r="172" spans="1:17">
      <c r="A172"/>
      <c r="B172"/>
      <c r="C172"/>
      <c r="H172"/>
      <c r="I172"/>
      <c r="J172"/>
      <c r="N172"/>
      <c r="O172"/>
      <c r="P172"/>
      <c r="Q172"/>
    </row>
    <row r="173" spans="1:17">
      <c r="A173"/>
      <c r="B173"/>
      <c r="C173"/>
      <c r="H173"/>
      <c r="I173"/>
      <c r="J173"/>
      <c r="N173"/>
      <c r="O173"/>
      <c r="P173"/>
      <c r="Q173"/>
    </row>
    <row r="174" spans="1:17">
      <c r="A174"/>
      <c r="B174"/>
      <c r="C174"/>
      <c r="H174"/>
      <c r="I174"/>
      <c r="J174"/>
      <c r="N174"/>
      <c r="O174"/>
      <c r="P174"/>
      <c r="Q174"/>
    </row>
    <row r="175" spans="1:17">
      <c r="A175"/>
      <c r="B175"/>
      <c r="C175"/>
      <c r="H175"/>
      <c r="I175"/>
      <c r="J175"/>
      <c r="N175"/>
      <c r="O175"/>
      <c r="P175"/>
      <c r="Q175"/>
    </row>
    <row r="176" spans="1:17">
      <c r="A176"/>
      <c r="B176"/>
      <c r="C176"/>
      <c r="H176"/>
      <c r="I176"/>
      <c r="J176"/>
      <c r="N176"/>
      <c r="O176"/>
      <c r="P176"/>
      <c r="Q176"/>
    </row>
    <row r="177" spans="1:17">
      <c r="A177"/>
      <c r="B177"/>
      <c r="C177"/>
      <c r="H177"/>
      <c r="I177"/>
      <c r="J177"/>
      <c r="N177"/>
      <c r="O177"/>
      <c r="P177"/>
      <c r="Q177"/>
    </row>
    <row r="178" spans="1:17">
      <c r="A178"/>
      <c r="B178"/>
      <c r="C178"/>
      <c r="H178"/>
      <c r="I178"/>
      <c r="J178"/>
      <c r="N178"/>
      <c r="O178"/>
      <c r="P178"/>
      <c r="Q178"/>
    </row>
    <row r="179" spans="1:17">
      <c r="A179"/>
      <c r="B179"/>
      <c r="C179"/>
      <c r="H179"/>
      <c r="I179"/>
      <c r="J179"/>
      <c r="N179"/>
      <c r="O179"/>
      <c r="P179"/>
      <c r="Q179"/>
    </row>
    <row r="180" spans="1:17">
      <c r="A180"/>
      <c r="B180"/>
      <c r="C180"/>
      <c r="H180"/>
      <c r="I180"/>
      <c r="J180"/>
      <c r="N180"/>
      <c r="O180"/>
      <c r="P180"/>
      <c r="Q180"/>
    </row>
    <row r="181" spans="1:17">
      <c r="A181"/>
      <c r="B181"/>
      <c r="C181"/>
      <c r="H181"/>
      <c r="I181"/>
      <c r="J181"/>
      <c r="N181"/>
      <c r="O181"/>
      <c r="P181"/>
      <c r="Q181"/>
    </row>
    <row r="182" spans="1:17">
      <c r="A182"/>
      <c r="B182"/>
      <c r="C182"/>
      <c r="H182"/>
      <c r="I182"/>
      <c r="J182"/>
      <c r="N182"/>
      <c r="O182"/>
      <c r="P182"/>
      <c r="Q182"/>
    </row>
    <row r="183" spans="1:17">
      <c r="A183"/>
      <c r="B183"/>
      <c r="C183"/>
      <c r="H183"/>
      <c r="I183"/>
      <c r="J183"/>
      <c r="N183"/>
      <c r="O183"/>
      <c r="P183"/>
      <c r="Q183"/>
    </row>
    <row r="184" spans="1:17">
      <c r="A184"/>
      <c r="B184"/>
      <c r="C184"/>
      <c r="H184"/>
      <c r="I184"/>
      <c r="J184"/>
      <c r="N184"/>
      <c r="O184"/>
      <c r="P184"/>
      <c r="Q184"/>
    </row>
    <row r="185" spans="1:17">
      <c r="A185"/>
      <c r="B185"/>
      <c r="C185"/>
      <c r="H185"/>
      <c r="I185"/>
      <c r="J185"/>
      <c r="N185"/>
      <c r="O185"/>
      <c r="P185"/>
      <c r="Q185"/>
    </row>
    <row r="186" spans="1:17">
      <c r="A186"/>
      <c r="B186"/>
      <c r="C186"/>
      <c r="H186"/>
      <c r="I186"/>
      <c r="J186"/>
      <c r="N186"/>
      <c r="O186"/>
      <c r="P186"/>
      <c r="Q186"/>
    </row>
    <row r="187" spans="1:17">
      <c r="A187"/>
      <c r="B187"/>
      <c r="C187"/>
      <c r="H187"/>
      <c r="I187"/>
      <c r="J187"/>
      <c r="N187"/>
      <c r="O187"/>
      <c r="P187"/>
      <c r="Q187"/>
    </row>
    <row r="188" spans="1:17">
      <c r="A188"/>
      <c r="B188"/>
      <c r="C188"/>
      <c r="H188"/>
      <c r="I188"/>
      <c r="J188"/>
      <c r="N188"/>
      <c r="O188"/>
      <c r="P188"/>
      <c r="Q188"/>
    </row>
    <row r="189" spans="1:17">
      <c r="A189"/>
      <c r="B189"/>
      <c r="C189"/>
      <c r="H189"/>
      <c r="I189"/>
      <c r="J189"/>
      <c r="N189"/>
      <c r="O189"/>
      <c r="P189"/>
      <c r="Q189"/>
    </row>
    <row r="190" spans="1:17">
      <c r="A190"/>
      <c r="B190"/>
      <c r="C190"/>
      <c r="H190"/>
      <c r="I190"/>
      <c r="J190"/>
      <c r="N190"/>
      <c r="O190"/>
      <c r="P190"/>
      <c r="Q190"/>
    </row>
    <row r="191" spans="1:17">
      <c r="A191"/>
      <c r="B191"/>
      <c r="C191"/>
      <c r="H191"/>
      <c r="I191"/>
      <c r="J191"/>
      <c r="N191"/>
      <c r="O191"/>
      <c r="P191"/>
      <c r="Q191"/>
    </row>
    <row r="192" spans="1:17">
      <c r="A192"/>
      <c r="B192"/>
      <c r="C192"/>
      <c r="H192"/>
      <c r="I192"/>
      <c r="J192"/>
      <c r="N192"/>
      <c r="O192"/>
      <c r="P192"/>
      <c r="Q192"/>
    </row>
    <row r="193" spans="1:17">
      <c r="A193"/>
      <c r="B193"/>
      <c r="C193"/>
      <c r="H193"/>
      <c r="I193"/>
      <c r="J193"/>
      <c r="N193"/>
      <c r="O193"/>
      <c r="P193"/>
      <c r="Q193"/>
    </row>
    <row r="194" spans="1:17">
      <c r="A194"/>
      <c r="B194"/>
      <c r="C194"/>
      <c r="H194"/>
      <c r="I194"/>
      <c r="J194"/>
      <c r="N194"/>
      <c r="O194"/>
      <c r="P194"/>
      <c r="Q194"/>
    </row>
    <row r="195" spans="1:17">
      <c r="A195"/>
      <c r="B195"/>
      <c r="C195"/>
      <c r="H195"/>
      <c r="I195"/>
      <c r="J195"/>
      <c r="N195"/>
      <c r="O195"/>
      <c r="P195"/>
      <c r="Q195"/>
    </row>
    <row r="196" spans="1:17">
      <c r="A196"/>
      <c r="B196"/>
      <c r="C196"/>
      <c r="H196"/>
      <c r="I196"/>
      <c r="J196"/>
      <c r="N196"/>
      <c r="O196"/>
      <c r="P196"/>
      <c r="Q196"/>
    </row>
    <row r="197" spans="1:17">
      <c r="A197"/>
      <c r="B197"/>
      <c r="C197"/>
      <c r="H197"/>
      <c r="I197"/>
      <c r="J197"/>
      <c r="N197"/>
      <c r="O197"/>
      <c r="P197"/>
      <c r="Q197"/>
    </row>
    <row r="198" spans="1:17">
      <c r="A198"/>
      <c r="B198"/>
      <c r="C198"/>
      <c r="H198"/>
      <c r="I198"/>
      <c r="J198"/>
      <c r="N198"/>
      <c r="O198"/>
      <c r="P198"/>
      <c r="Q198"/>
    </row>
    <row r="199" spans="1:17">
      <c r="A199"/>
      <c r="B199"/>
      <c r="C199"/>
      <c r="H199"/>
      <c r="I199"/>
      <c r="J199"/>
      <c r="N199"/>
      <c r="O199"/>
      <c r="P199"/>
      <c r="Q199"/>
    </row>
    <row r="200" spans="1:17">
      <c r="A200"/>
      <c r="B200"/>
      <c r="C200"/>
      <c r="H200"/>
      <c r="I200"/>
      <c r="J200"/>
      <c r="N200"/>
      <c r="O200"/>
      <c r="P200"/>
      <c r="Q200"/>
    </row>
    <row r="201" spans="1:17">
      <c r="A201"/>
      <c r="B201"/>
      <c r="C201"/>
      <c r="H201"/>
      <c r="I201"/>
      <c r="J201"/>
      <c r="N201"/>
      <c r="O201"/>
      <c r="P201"/>
      <c r="Q201"/>
    </row>
    <row r="202" spans="1:17">
      <c r="A202"/>
      <c r="B202"/>
      <c r="C202"/>
      <c r="H202"/>
      <c r="I202"/>
      <c r="J202"/>
      <c r="N202"/>
      <c r="O202"/>
      <c r="P202"/>
      <c r="Q202"/>
    </row>
    <row r="203" spans="1:17">
      <c r="A203"/>
      <c r="B203"/>
      <c r="C203"/>
      <c r="H203"/>
      <c r="I203"/>
      <c r="J203"/>
      <c r="N203"/>
      <c r="O203"/>
      <c r="P203"/>
      <c r="Q203"/>
    </row>
    <row r="204" spans="1:17">
      <c r="A204"/>
      <c r="B204"/>
      <c r="C204"/>
      <c r="H204"/>
      <c r="I204"/>
      <c r="J204"/>
      <c r="N204"/>
      <c r="O204"/>
      <c r="P204"/>
      <c r="Q204"/>
    </row>
    <row r="205" spans="1:17">
      <c r="A205"/>
      <c r="B205"/>
      <c r="C205"/>
      <c r="H205"/>
      <c r="I205"/>
      <c r="J205"/>
      <c r="N205"/>
      <c r="O205"/>
      <c r="P205"/>
      <c r="Q205"/>
    </row>
    <row r="206" spans="1:17">
      <c r="A206"/>
      <c r="B206"/>
      <c r="C206"/>
      <c r="H206"/>
      <c r="I206"/>
      <c r="J206"/>
      <c r="N206"/>
      <c r="O206"/>
      <c r="P206"/>
      <c r="Q206"/>
    </row>
    <row r="207" spans="1:17">
      <c r="A207"/>
      <c r="B207"/>
      <c r="C207"/>
      <c r="H207"/>
      <c r="I207"/>
      <c r="J207"/>
      <c r="N207"/>
      <c r="O207"/>
      <c r="P207"/>
      <c r="Q207"/>
    </row>
    <row r="208" spans="1:17">
      <c r="A208"/>
      <c r="B208"/>
      <c r="C208"/>
      <c r="H208"/>
      <c r="I208"/>
      <c r="J208"/>
      <c r="N208"/>
      <c r="O208"/>
      <c r="P208"/>
      <c r="Q208"/>
    </row>
    <row r="209" spans="1:17">
      <c r="A209"/>
      <c r="B209"/>
      <c r="C209"/>
      <c r="H209"/>
      <c r="I209"/>
      <c r="J209"/>
      <c r="N209"/>
      <c r="O209"/>
      <c r="P209"/>
      <c r="Q209"/>
    </row>
    <row r="210" spans="1:17">
      <c r="A210"/>
      <c r="B210"/>
      <c r="C210"/>
      <c r="H210"/>
      <c r="I210"/>
      <c r="J210"/>
      <c r="N210"/>
      <c r="O210"/>
      <c r="P210"/>
      <c r="Q210"/>
    </row>
    <row r="211" spans="1:17">
      <c r="A211"/>
      <c r="B211"/>
      <c r="C211"/>
      <c r="H211"/>
      <c r="I211"/>
      <c r="J211"/>
      <c r="N211"/>
      <c r="O211"/>
      <c r="P211"/>
      <c r="Q211"/>
    </row>
    <row r="212" spans="1:17">
      <c r="A212"/>
      <c r="B212"/>
      <c r="C212"/>
      <c r="H212"/>
      <c r="I212"/>
      <c r="J212"/>
      <c r="N212"/>
      <c r="O212"/>
      <c r="P212"/>
      <c r="Q212"/>
    </row>
    <row r="213" spans="1:17">
      <c r="A213"/>
      <c r="B213"/>
      <c r="C213"/>
      <c r="H213"/>
      <c r="I213"/>
      <c r="J213"/>
      <c r="N213"/>
      <c r="O213"/>
      <c r="P213"/>
      <c r="Q213"/>
    </row>
    <row r="214" spans="1:17">
      <c r="A214"/>
      <c r="B214"/>
      <c r="C214"/>
      <c r="H214"/>
      <c r="I214"/>
      <c r="J214"/>
      <c r="N214"/>
      <c r="O214"/>
      <c r="P214"/>
      <c r="Q214"/>
    </row>
    <row r="215" spans="1:17">
      <c r="A215"/>
      <c r="B215"/>
      <c r="C215"/>
      <c r="H215"/>
      <c r="I215"/>
      <c r="J215"/>
      <c r="N215"/>
      <c r="O215"/>
      <c r="P215"/>
      <c r="Q215"/>
    </row>
    <row r="216" spans="1:17">
      <c r="A216"/>
      <c r="B216"/>
      <c r="C216"/>
      <c r="H216"/>
      <c r="I216"/>
      <c r="J216"/>
      <c r="N216"/>
      <c r="O216"/>
      <c r="P216"/>
      <c r="Q216"/>
    </row>
    <row r="217" spans="1:17">
      <c r="A217"/>
      <c r="B217"/>
      <c r="C217"/>
      <c r="H217"/>
      <c r="I217"/>
      <c r="J217"/>
      <c r="N217"/>
      <c r="O217"/>
      <c r="P217"/>
      <c r="Q217"/>
    </row>
    <row r="218" spans="1:17">
      <c r="A218"/>
      <c r="B218"/>
      <c r="C218"/>
      <c r="H218"/>
      <c r="I218"/>
      <c r="J218"/>
      <c r="N218"/>
      <c r="O218"/>
      <c r="P218"/>
      <c r="Q218"/>
    </row>
    <row r="219" spans="1:17">
      <c r="A219"/>
      <c r="B219"/>
      <c r="C219"/>
      <c r="H219"/>
      <c r="I219"/>
      <c r="J219"/>
      <c r="N219"/>
      <c r="O219"/>
      <c r="P219"/>
      <c r="Q219"/>
    </row>
    <row r="220" spans="1:17">
      <c r="A220"/>
      <c r="B220"/>
      <c r="C220"/>
      <c r="H220"/>
      <c r="I220"/>
      <c r="J220"/>
      <c r="N220"/>
      <c r="O220"/>
      <c r="P220"/>
      <c r="Q220"/>
    </row>
    <row r="221" spans="1:17">
      <c r="A221"/>
      <c r="B221"/>
      <c r="C221"/>
      <c r="H221"/>
      <c r="I221"/>
      <c r="J221"/>
      <c r="N221"/>
      <c r="O221"/>
      <c r="P221"/>
      <c r="Q221"/>
    </row>
    <row r="222" spans="1:17">
      <c r="A222"/>
      <c r="B222"/>
      <c r="C222"/>
      <c r="H222"/>
      <c r="I222"/>
      <c r="J222"/>
      <c r="N222"/>
      <c r="O222"/>
      <c r="P222"/>
      <c r="Q222"/>
    </row>
    <row r="223" spans="1:17">
      <c r="A223"/>
      <c r="B223"/>
      <c r="C223"/>
      <c r="H223"/>
      <c r="I223"/>
      <c r="J223"/>
      <c r="N223"/>
      <c r="O223"/>
      <c r="P223"/>
      <c r="Q223"/>
    </row>
    <row r="224" spans="1:17">
      <c r="A224"/>
      <c r="B224"/>
      <c r="C224"/>
      <c r="H224"/>
      <c r="I224"/>
      <c r="J224"/>
      <c r="N224"/>
      <c r="O224"/>
      <c r="P224"/>
      <c r="Q224"/>
    </row>
    <row r="225" spans="1:17">
      <c r="A225"/>
      <c r="B225"/>
      <c r="C225"/>
      <c r="H225"/>
      <c r="I225"/>
      <c r="J225"/>
      <c r="N225"/>
      <c r="O225"/>
      <c r="P225"/>
      <c r="Q225"/>
    </row>
    <row r="226" spans="1:17">
      <c r="A226"/>
      <c r="B226"/>
      <c r="C226"/>
      <c r="H226"/>
      <c r="I226"/>
      <c r="J226"/>
      <c r="N226"/>
      <c r="O226"/>
      <c r="P226"/>
      <c r="Q226"/>
    </row>
    <row r="227" spans="1:17">
      <c r="A227"/>
      <c r="B227"/>
      <c r="C227"/>
      <c r="H227"/>
      <c r="I227"/>
      <c r="J227"/>
      <c r="N227"/>
      <c r="O227"/>
      <c r="P227"/>
      <c r="Q227"/>
    </row>
    <row r="228" spans="1:17">
      <c r="A228"/>
      <c r="B228"/>
      <c r="C228"/>
      <c r="H228"/>
      <c r="I228"/>
      <c r="J228"/>
      <c r="N228"/>
      <c r="O228"/>
      <c r="P228"/>
      <c r="Q228"/>
    </row>
    <row r="229" spans="1:17">
      <c r="A229"/>
      <c r="B229"/>
      <c r="H229"/>
      <c r="I229"/>
      <c r="J229"/>
      <c r="N229"/>
      <c r="O229"/>
      <c r="P229"/>
      <c r="Q229"/>
    </row>
    <row r="230" spans="1:17">
      <c r="A230"/>
      <c r="B230"/>
      <c r="H230"/>
      <c r="I230"/>
      <c r="J230"/>
      <c r="N230"/>
      <c r="O230"/>
      <c r="P230"/>
      <c r="Q230"/>
    </row>
    <row r="231" spans="1:17">
      <c r="A231"/>
      <c r="B231"/>
      <c r="H231"/>
      <c r="I231"/>
      <c r="J231"/>
      <c r="N231"/>
      <c r="O231"/>
      <c r="P231"/>
      <c r="Q231"/>
    </row>
    <row r="232" spans="1:17">
      <c r="A232"/>
      <c r="B232"/>
      <c r="H232"/>
      <c r="I232"/>
      <c r="J232"/>
      <c r="N232"/>
      <c r="O232"/>
      <c r="P232"/>
      <c r="Q232"/>
    </row>
    <row r="233" spans="1:17">
      <c r="A233"/>
      <c r="B233"/>
      <c r="H233"/>
      <c r="I233"/>
      <c r="J233"/>
      <c r="N233"/>
      <c r="O233"/>
      <c r="P233"/>
      <c r="Q233"/>
    </row>
    <row r="234" spans="1:17">
      <c r="A234"/>
      <c r="B234"/>
      <c r="H234"/>
      <c r="I234"/>
      <c r="J234"/>
      <c r="N234"/>
      <c r="O234"/>
      <c r="P234"/>
      <c r="Q234"/>
    </row>
    <row r="235" spans="1:17">
      <c r="A235"/>
      <c r="B235"/>
      <c r="H235"/>
      <c r="I235"/>
      <c r="J235"/>
      <c r="N235"/>
      <c r="O235"/>
      <c r="P235"/>
      <c r="Q235"/>
    </row>
    <row r="236" spans="1:17">
      <c r="A236"/>
      <c r="B236"/>
      <c r="H236"/>
      <c r="I236"/>
      <c r="J236"/>
      <c r="N236"/>
      <c r="O236"/>
      <c r="P236"/>
      <c r="Q236"/>
    </row>
    <row r="237" spans="1:17">
      <c r="A237"/>
      <c r="B237"/>
      <c r="H237"/>
      <c r="I237"/>
      <c r="J237"/>
      <c r="N237"/>
      <c r="O237"/>
      <c r="P237"/>
      <c r="Q237"/>
    </row>
    <row r="238" spans="1:17">
      <c r="A238"/>
      <c r="B238"/>
      <c r="H238"/>
      <c r="I238"/>
      <c r="J238"/>
      <c r="N238"/>
      <c r="O238"/>
      <c r="P238"/>
      <c r="Q238"/>
    </row>
    <row r="239" spans="1:17">
      <c r="A239"/>
      <c r="B239"/>
      <c r="H239"/>
      <c r="I239"/>
      <c r="J239"/>
      <c r="N239"/>
      <c r="O239"/>
      <c r="P239"/>
      <c r="Q239"/>
    </row>
    <row r="240" spans="1:17">
      <c r="A240"/>
      <c r="B240"/>
      <c r="H240"/>
      <c r="I240"/>
      <c r="J240"/>
      <c r="N240"/>
      <c r="O240"/>
      <c r="P240"/>
      <c r="Q240"/>
    </row>
    <row r="241" spans="1:17">
      <c r="A241"/>
      <c r="B241"/>
      <c r="H241"/>
      <c r="I241"/>
      <c r="J241"/>
      <c r="N241"/>
      <c r="O241"/>
      <c r="P241"/>
      <c r="Q241"/>
    </row>
    <row r="242" spans="1:17">
      <c r="A242"/>
      <c r="B242"/>
      <c r="H242"/>
      <c r="I242"/>
      <c r="J242"/>
      <c r="N242"/>
      <c r="O242"/>
      <c r="P242"/>
      <c r="Q242"/>
    </row>
    <row r="243" spans="1:17">
      <c r="A243"/>
      <c r="B243"/>
      <c r="H243"/>
      <c r="I243"/>
      <c r="J243"/>
      <c r="N243"/>
      <c r="O243"/>
      <c r="P243"/>
      <c r="Q243"/>
    </row>
    <row r="244" spans="1:17">
      <c r="A244"/>
      <c r="B244"/>
      <c r="H244"/>
      <c r="I244"/>
      <c r="J244"/>
      <c r="N244"/>
      <c r="O244"/>
      <c r="P244"/>
      <c r="Q244"/>
    </row>
    <row r="245" spans="1:17">
      <c r="A245"/>
      <c r="B245"/>
      <c r="H245"/>
      <c r="I245"/>
      <c r="J245"/>
      <c r="N245"/>
      <c r="O245"/>
      <c r="P245"/>
      <c r="Q245"/>
    </row>
    <row r="246" spans="1:17">
      <c r="A246"/>
      <c r="B246"/>
      <c r="H246"/>
      <c r="I246"/>
      <c r="J246"/>
      <c r="N246"/>
      <c r="O246"/>
      <c r="P246"/>
      <c r="Q246"/>
    </row>
    <row r="247" spans="1:17">
      <c r="A247"/>
      <c r="B247"/>
      <c r="H247"/>
      <c r="I247"/>
      <c r="J247"/>
      <c r="N247"/>
      <c r="O247"/>
      <c r="P247"/>
      <c r="Q247"/>
    </row>
    <row r="248" spans="1:17">
      <c r="A248"/>
      <c r="B248"/>
      <c r="H248"/>
      <c r="I248"/>
      <c r="J248"/>
      <c r="N248"/>
      <c r="O248"/>
      <c r="P248"/>
      <c r="Q248"/>
    </row>
    <row r="249" spans="1:17">
      <c r="A249"/>
      <c r="B249"/>
      <c r="H249"/>
      <c r="I249"/>
      <c r="J249"/>
      <c r="N249"/>
      <c r="O249"/>
      <c r="P249"/>
      <c r="Q249"/>
    </row>
    <row r="250" spans="1:17">
      <c r="A250"/>
      <c r="B250"/>
      <c r="H250"/>
      <c r="I250"/>
      <c r="J250"/>
      <c r="N250"/>
      <c r="O250"/>
      <c r="P250"/>
      <c r="Q250"/>
    </row>
    <row r="251" spans="1:17">
      <c r="A251"/>
      <c r="B251"/>
      <c r="H251"/>
      <c r="I251"/>
      <c r="J251"/>
      <c r="N251"/>
      <c r="O251"/>
      <c r="P251"/>
      <c r="Q251"/>
    </row>
    <row r="252" spans="1:17">
      <c r="A252"/>
      <c r="B252"/>
      <c r="H252"/>
      <c r="I252"/>
      <c r="J252"/>
      <c r="N252"/>
      <c r="O252"/>
      <c r="P252"/>
      <c r="Q252"/>
    </row>
    <row r="253" spans="1:17">
      <c r="A253"/>
      <c r="B253"/>
      <c r="H253"/>
      <c r="I253"/>
      <c r="J253"/>
      <c r="N253"/>
      <c r="O253"/>
      <c r="P253"/>
      <c r="Q253"/>
    </row>
    <row r="254" spans="1:17">
      <c r="A254"/>
      <c r="B254"/>
      <c r="H254"/>
      <c r="I254"/>
      <c r="J254"/>
      <c r="N254"/>
      <c r="O254"/>
      <c r="P254"/>
      <c r="Q254"/>
    </row>
    <row r="255" spans="1:17">
      <c r="A255"/>
      <c r="B255"/>
      <c r="H255"/>
      <c r="I255"/>
      <c r="J255"/>
      <c r="N255"/>
      <c r="O255"/>
      <c r="P255"/>
      <c r="Q255"/>
    </row>
    <row r="256" spans="1:17">
      <c r="A256"/>
      <c r="B256"/>
      <c r="H256"/>
      <c r="I256"/>
      <c r="J256"/>
      <c r="N256"/>
      <c r="O256"/>
      <c r="P256"/>
      <c r="Q256"/>
    </row>
    <row r="257" spans="1:17">
      <c r="A257"/>
      <c r="B257"/>
      <c r="H257"/>
      <c r="I257"/>
      <c r="J257"/>
      <c r="N257"/>
      <c r="O257"/>
      <c r="P257"/>
      <c r="Q257"/>
    </row>
    <row r="258" spans="1:17">
      <c r="A258"/>
      <c r="B258"/>
      <c r="H258"/>
      <c r="I258"/>
      <c r="J258"/>
      <c r="N258"/>
      <c r="O258"/>
      <c r="P258"/>
      <c r="Q258"/>
    </row>
    <row r="259" spans="1:17">
      <c r="A259"/>
      <c r="B259"/>
      <c r="H259"/>
      <c r="I259"/>
      <c r="J259"/>
      <c r="N259"/>
      <c r="O259"/>
      <c r="P259"/>
      <c r="Q259"/>
    </row>
    <row r="260" spans="1:17">
      <c r="A260"/>
      <c r="B260"/>
      <c r="H260"/>
      <c r="I260"/>
      <c r="J260"/>
      <c r="N260"/>
      <c r="O260"/>
      <c r="P260"/>
      <c r="Q260"/>
    </row>
    <row r="261" spans="1:17">
      <c r="A261"/>
      <c r="B261"/>
      <c r="H261"/>
      <c r="I261"/>
      <c r="J261"/>
      <c r="N261"/>
      <c r="O261"/>
      <c r="P261"/>
      <c r="Q261"/>
    </row>
    <row r="262" spans="1:17">
      <c r="A262"/>
      <c r="B262"/>
      <c r="H262"/>
      <c r="I262"/>
      <c r="J262"/>
      <c r="N262"/>
      <c r="O262"/>
      <c r="P262"/>
      <c r="Q262"/>
    </row>
    <row r="263" spans="1:17">
      <c r="A263"/>
      <c r="B263"/>
      <c r="H263"/>
      <c r="I263"/>
      <c r="J263"/>
      <c r="N263"/>
      <c r="O263"/>
      <c r="P263"/>
      <c r="Q263"/>
    </row>
    <row r="264" spans="1:17">
      <c r="A264"/>
      <c r="B264"/>
      <c r="H264"/>
      <c r="I264"/>
      <c r="J264"/>
      <c r="N264"/>
      <c r="O264"/>
      <c r="P264"/>
      <c r="Q264"/>
    </row>
    <row r="265" spans="1:17">
      <c r="A265"/>
      <c r="B265"/>
      <c r="H265"/>
      <c r="I265"/>
      <c r="J265"/>
      <c r="N265"/>
      <c r="O265"/>
      <c r="P265"/>
      <c r="Q265"/>
    </row>
    <row r="266" spans="1:17">
      <c r="A266"/>
      <c r="B266"/>
      <c r="H266"/>
      <c r="I266"/>
      <c r="J266"/>
      <c r="N266"/>
      <c r="O266"/>
      <c r="P266"/>
      <c r="Q266"/>
    </row>
    <row r="267" spans="1:17">
      <c r="A267"/>
      <c r="B267"/>
      <c r="H267"/>
      <c r="I267"/>
      <c r="J267"/>
      <c r="N267"/>
      <c r="O267"/>
      <c r="P267"/>
      <c r="Q267"/>
    </row>
    <row r="268" spans="1:17">
      <c r="A268"/>
      <c r="B268"/>
      <c r="H268"/>
      <c r="I268"/>
      <c r="J268"/>
      <c r="N268"/>
      <c r="O268"/>
      <c r="P268"/>
      <c r="Q268"/>
    </row>
    <row r="269" spans="1:17">
      <c r="A269"/>
      <c r="B269"/>
      <c r="H269"/>
      <c r="I269"/>
      <c r="J269"/>
      <c r="N269"/>
      <c r="O269"/>
      <c r="P269"/>
      <c r="Q269"/>
    </row>
    <row r="270" spans="1:17">
      <c r="A270"/>
      <c r="B270"/>
      <c r="H270"/>
      <c r="I270"/>
      <c r="J270"/>
      <c r="N270"/>
      <c r="O270"/>
      <c r="P270"/>
      <c r="Q270"/>
    </row>
    <row r="271" spans="1:17">
      <c r="A271"/>
      <c r="B271"/>
      <c r="H271"/>
      <c r="I271"/>
      <c r="J271"/>
      <c r="N271"/>
      <c r="O271"/>
      <c r="P271"/>
      <c r="Q271"/>
    </row>
    <row r="272" spans="1:17">
      <c r="A272"/>
      <c r="B272"/>
      <c r="H272"/>
      <c r="I272"/>
      <c r="J272"/>
      <c r="N272"/>
      <c r="O272"/>
      <c r="P272"/>
      <c r="Q272"/>
    </row>
    <row r="273" spans="1:17">
      <c r="A273"/>
      <c r="B273"/>
      <c r="H273"/>
      <c r="I273"/>
      <c r="J273"/>
      <c r="N273"/>
      <c r="O273"/>
      <c r="P273"/>
      <c r="Q273"/>
    </row>
    <row r="274" spans="1:17">
      <c r="A274"/>
      <c r="B274"/>
      <c r="H274"/>
      <c r="N274"/>
      <c r="O274"/>
      <c r="P274"/>
      <c r="Q274"/>
    </row>
    <row r="275" spans="1:17">
      <c r="A275"/>
      <c r="B275"/>
      <c r="N275"/>
      <c r="O275"/>
      <c r="P275"/>
      <c r="Q275"/>
    </row>
    <row r="276" spans="1:17">
      <c r="A276"/>
      <c r="B276"/>
      <c r="N276"/>
      <c r="O276"/>
      <c r="P276"/>
      <c r="Q276"/>
    </row>
    <row r="277" spans="1:17">
      <c r="A277"/>
      <c r="B277"/>
      <c r="N277"/>
      <c r="O277"/>
      <c r="P277"/>
      <c r="Q277"/>
    </row>
    <row r="278" spans="1:17">
      <c r="A278"/>
      <c r="B278"/>
      <c r="N278"/>
      <c r="O278"/>
      <c r="P278"/>
      <c r="Q278"/>
    </row>
    <row r="279" spans="1:17">
      <c r="A279"/>
      <c r="B279"/>
      <c r="N279"/>
      <c r="O279"/>
      <c r="P279"/>
      <c r="Q279"/>
    </row>
    <row r="280" spans="1:17">
      <c r="A280"/>
      <c r="B280"/>
      <c r="N280"/>
      <c r="O280"/>
      <c r="P280"/>
      <c r="Q280"/>
    </row>
    <row r="281" spans="1:17">
      <c r="A281"/>
      <c r="B281"/>
      <c r="N281"/>
      <c r="O281"/>
      <c r="P281"/>
      <c r="Q281"/>
    </row>
    <row r="282" spans="1:17">
      <c r="A282"/>
      <c r="B282"/>
      <c r="N282"/>
      <c r="O282"/>
      <c r="P282"/>
      <c r="Q282"/>
    </row>
    <row r="283" spans="1:17">
      <c r="A283"/>
      <c r="B283"/>
      <c r="N283"/>
      <c r="O283"/>
      <c r="P283"/>
      <c r="Q283"/>
    </row>
    <row r="284" spans="1:17">
      <c r="A284"/>
      <c r="B284"/>
      <c r="N284"/>
      <c r="O284"/>
      <c r="P284"/>
      <c r="Q284"/>
    </row>
    <row r="285" spans="1:17">
      <c r="A285"/>
      <c r="B285"/>
      <c r="N285"/>
      <c r="O285"/>
      <c r="P285"/>
      <c r="Q285"/>
    </row>
    <row r="286" spans="1:17">
      <c r="A286"/>
      <c r="B286"/>
      <c r="N286"/>
      <c r="O286"/>
      <c r="P286"/>
      <c r="Q286"/>
    </row>
    <row r="287" spans="1:17">
      <c r="A287"/>
      <c r="B287"/>
      <c r="N287"/>
      <c r="O287"/>
      <c r="P287"/>
      <c r="Q287"/>
    </row>
    <row r="288" spans="1:17">
      <c r="A288"/>
      <c r="B288"/>
      <c r="N288"/>
      <c r="O288"/>
      <c r="P288"/>
      <c r="Q288"/>
    </row>
    <row r="289" spans="1:17">
      <c r="A289"/>
      <c r="B289"/>
      <c r="N289"/>
      <c r="O289"/>
      <c r="P289"/>
      <c r="Q289"/>
    </row>
    <row r="290" spans="1:17">
      <c r="A290"/>
      <c r="B290"/>
      <c r="N290"/>
      <c r="O290"/>
      <c r="P290"/>
      <c r="Q290"/>
    </row>
    <row r="291" spans="1:17">
      <c r="A291"/>
      <c r="B291"/>
      <c r="N291"/>
      <c r="O291"/>
      <c r="P291"/>
      <c r="Q291"/>
    </row>
    <row r="292" spans="1:17">
      <c r="A292"/>
      <c r="B292"/>
      <c r="N292"/>
      <c r="O292"/>
      <c r="P292"/>
      <c r="Q292"/>
    </row>
    <row r="293" spans="1:17">
      <c r="A293"/>
      <c r="B293"/>
      <c r="N293"/>
      <c r="O293"/>
      <c r="P293"/>
      <c r="Q293"/>
    </row>
    <row r="294" spans="1:17">
      <c r="A294"/>
      <c r="B294"/>
      <c r="N294"/>
      <c r="O294"/>
      <c r="P294"/>
      <c r="Q294"/>
    </row>
    <row r="295" spans="1:17">
      <c r="A295"/>
      <c r="B295"/>
      <c r="N295"/>
      <c r="O295"/>
      <c r="P295"/>
      <c r="Q295"/>
    </row>
    <row r="296" spans="1:17">
      <c r="A296"/>
      <c r="B296"/>
      <c r="N296"/>
      <c r="O296"/>
      <c r="P296"/>
      <c r="Q296"/>
    </row>
    <row r="297" spans="1:17">
      <c r="A297"/>
      <c r="B297"/>
      <c r="N297"/>
      <c r="O297"/>
      <c r="P297"/>
      <c r="Q297"/>
    </row>
    <row r="298" spans="1:17">
      <c r="A298"/>
      <c r="B298"/>
      <c r="N298"/>
      <c r="O298"/>
      <c r="P298"/>
      <c r="Q298"/>
    </row>
    <row r="299" spans="1:17">
      <c r="A299"/>
      <c r="B299"/>
      <c r="N299"/>
      <c r="O299"/>
      <c r="P299"/>
      <c r="Q299"/>
    </row>
    <row r="300" spans="1:17">
      <c r="A300"/>
      <c r="B300"/>
      <c r="N300"/>
      <c r="O300"/>
      <c r="P300"/>
      <c r="Q300"/>
    </row>
    <row r="301" spans="1:17">
      <c r="A301"/>
      <c r="B301"/>
      <c r="N301"/>
      <c r="O301"/>
      <c r="P301"/>
      <c r="Q301"/>
    </row>
    <row r="302" spans="1:17">
      <c r="A302"/>
      <c r="B302"/>
      <c r="N302"/>
      <c r="O302"/>
      <c r="P302"/>
      <c r="Q302"/>
    </row>
    <row r="303" spans="1:17">
      <c r="A303"/>
      <c r="B303"/>
      <c r="N303"/>
      <c r="O303"/>
      <c r="P303"/>
      <c r="Q303"/>
    </row>
    <row r="304" spans="1:17">
      <c r="A304"/>
      <c r="B304"/>
      <c r="N304"/>
      <c r="O304"/>
      <c r="P304"/>
      <c r="Q304"/>
    </row>
    <row r="305" spans="1:17">
      <c r="A305"/>
      <c r="B305"/>
      <c r="N305"/>
      <c r="O305"/>
      <c r="P305"/>
      <c r="Q305"/>
    </row>
    <row r="306" spans="1:17">
      <c r="A306"/>
      <c r="B306"/>
      <c r="N306"/>
      <c r="O306"/>
      <c r="P306"/>
      <c r="Q306"/>
    </row>
    <row r="307" spans="1:17">
      <c r="A307"/>
      <c r="B307"/>
      <c r="N307"/>
      <c r="O307"/>
      <c r="P307"/>
      <c r="Q307"/>
    </row>
    <row r="308" spans="1:17">
      <c r="A308"/>
      <c r="B308"/>
      <c r="N308"/>
      <c r="O308"/>
      <c r="P308"/>
      <c r="Q308"/>
    </row>
    <row r="309" spans="1:17">
      <c r="A309"/>
      <c r="B309"/>
      <c r="N309"/>
      <c r="O309"/>
      <c r="P309"/>
      <c r="Q309"/>
    </row>
    <row r="310" spans="1:17">
      <c r="A310"/>
      <c r="B310"/>
      <c r="N310"/>
      <c r="O310"/>
      <c r="P310"/>
      <c r="Q310"/>
    </row>
    <row r="311" spans="1:17">
      <c r="A311"/>
      <c r="B311"/>
      <c r="N311"/>
      <c r="O311"/>
      <c r="P311"/>
      <c r="Q311"/>
    </row>
    <row r="312" spans="1:17">
      <c r="A312"/>
      <c r="B312"/>
      <c r="N312"/>
      <c r="O312"/>
      <c r="P312"/>
      <c r="Q312"/>
    </row>
    <row r="313" spans="1:17">
      <c r="A313"/>
      <c r="B313"/>
      <c r="N313"/>
      <c r="O313"/>
      <c r="P313"/>
      <c r="Q313"/>
    </row>
    <row r="314" spans="1:17">
      <c r="A314"/>
      <c r="B314"/>
      <c r="N314"/>
      <c r="O314"/>
      <c r="P314"/>
      <c r="Q314"/>
    </row>
    <row r="315" spans="1:17">
      <c r="A315"/>
      <c r="B315"/>
      <c r="N315"/>
      <c r="O315"/>
      <c r="P315"/>
      <c r="Q315"/>
    </row>
    <row r="316" spans="1:17">
      <c r="A316"/>
      <c r="B316"/>
      <c r="N316"/>
      <c r="O316"/>
      <c r="P316"/>
      <c r="Q316"/>
    </row>
    <row r="317" spans="1:17">
      <c r="A317"/>
      <c r="B317"/>
      <c r="N317"/>
      <c r="O317"/>
      <c r="P317"/>
      <c r="Q317"/>
    </row>
    <row r="318" spans="1:17">
      <c r="A318"/>
      <c r="B318"/>
      <c r="N318"/>
      <c r="O318"/>
      <c r="P318"/>
      <c r="Q318"/>
    </row>
    <row r="319" spans="1:17">
      <c r="A319"/>
      <c r="B319"/>
      <c r="N319"/>
      <c r="O319"/>
      <c r="P319"/>
      <c r="Q319"/>
    </row>
    <row r="320" spans="1:17">
      <c r="A320"/>
      <c r="B320"/>
      <c r="N320"/>
      <c r="O320"/>
      <c r="P320"/>
      <c r="Q320"/>
    </row>
    <row r="321" spans="1:17">
      <c r="A321"/>
      <c r="B321"/>
      <c r="N321"/>
      <c r="O321"/>
      <c r="P321"/>
      <c r="Q321"/>
    </row>
    <row r="322" spans="1:17">
      <c r="A322"/>
      <c r="B322"/>
      <c r="N322"/>
      <c r="O322"/>
      <c r="P322"/>
      <c r="Q322"/>
    </row>
    <row r="323" spans="1:17">
      <c r="A323"/>
      <c r="B323"/>
      <c r="N323"/>
      <c r="O323"/>
      <c r="P323"/>
      <c r="Q323"/>
    </row>
    <row r="324" spans="1:17">
      <c r="A324"/>
      <c r="B324"/>
      <c r="N324"/>
      <c r="O324"/>
      <c r="P324"/>
      <c r="Q324"/>
    </row>
    <row r="325" spans="1:17">
      <c r="A325"/>
      <c r="B325"/>
      <c r="N325"/>
      <c r="O325"/>
      <c r="P325"/>
      <c r="Q325"/>
    </row>
    <row r="326" spans="1:17">
      <c r="A326"/>
      <c r="B326"/>
      <c r="N326"/>
      <c r="O326"/>
      <c r="P326"/>
      <c r="Q326"/>
    </row>
    <row r="327" spans="1:17">
      <c r="A327"/>
      <c r="B327"/>
      <c r="N327"/>
      <c r="O327"/>
      <c r="P327"/>
      <c r="Q327"/>
    </row>
    <row r="328" spans="1:17">
      <c r="A328"/>
      <c r="B328"/>
      <c r="N328"/>
      <c r="O328"/>
      <c r="P328"/>
      <c r="Q328"/>
    </row>
    <row r="329" spans="1:17">
      <c r="A329"/>
      <c r="B329"/>
      <c r="N329"/>
      <c r="O329"/>
      <c r="P329"/>
      <c r="Q329"/>
    </row>
    <row r="330" spans="1:17">
      <c r="A330"/>
      <c r="B330"/>
      <c r="N330"/>
      <c r="O330"/>
      <c r="P330"/>
      <c r="Q330"/>
    </row>
    <row r="331" spans="1:17">
      <c r="A331"/>
      <c r="B331"/>
      <c r="N331"/>
      <c r="O331"/>
      <c r="P331"/>
      <c r="Q331"/>
    </row>
    <row r="332" spans="1:17">
      <c r="A332"/>
      <c r="B332"/>
      <c r="N332"/>
      <c r="O332"/>
      <c r="P332"/>
      <c r="Q332"/>
    </row>
    <row r="333" spans="1:17">
      <c r="A333"/>
      <c r="B333"/>
      <c r="N333"/>
      <c r="O333"/>
      <c r="P333"/>
      <c r="Q333"/>
    </row>
    <row r="334" spans="1:17">
      <c r="A334"/>
      <c r="B334"/>
      <c r="N334"/>
      <c r="O334"/>
      <c r="P334"/>
      <c r="Q334"/>
    </row>
    <row r="335" spans="1:17">
      <c r="A335"/>
      <c r="B335"/>
      <c r="N335"/>
      <c r="O335"/>
      <c r="P335"/>
      <c r="Q335"/>
    </row>
    <row r="336" spans="1:17">
      <c r="A336"/>
      <c r="B336"/>
      <c r="N336"/>
      <c r="O336"/>
      <c r="P336"/>
      <c r="Q336"/>
    </row>
    <row r="337" spans="1:17">
      <c r="A337"/>
      <c r="B337"/>
      <c r="N337"/>
      <c r="O337"/>
      <c r="P337"/>
      <c r="Q337"/>
    </row>
    <row r="338" spans="1:17">
      <c r="A338"/>
      <c r="B338"/>
      <c r="N338"/>
      <c r="O338"/>
      <c r="P338"/>
      <c r="Q338"/>
    </row>
    <row r="339" spans="1:17">
      <c r="A339"/>
      <c r="B339"/>
      <c r="N339"/>
      <c r="O339"/>
      <c r="P339"/>
      <c r="Q339"/>
    </row>
    <row r="340" spans="1:17">
      <c r="A340"/>
      <c r="B340"/>
      <c r="N340"/>
      <c r="O340"/>
      <c r="P340"/>
      <c r="Q340"/>
    </row>
    <row r="341" spans="1:17">
      <c r="N341"/>
      <c r="O341"/>
      <c r="P341"/>
      <c r="Q341"/>
    </row>
    <row r="342" spans="1:17">
      <c r="N342"/>
      <c r="O342"/>
      <c r="P342"/>
      <c r="Q342"/>
    </row>
    <row r="343" spans="1:17">
      <c r="N343"/>
      <c r="O343"/>
      <c r="P343"/>
      <c r="Q343"/>
    </row>
    <row r="344" spans="1:17">
      <c r="N344"/>
      <c r="O344"/>
      <c r="P344"/>
      <c r="Q344"/>
    </row>
    <row r="345" spans="1:17">
      <c r="N345"/>
      <c r="O345"/>
      <c r="P345"/>
      <c r="Q345"/>
    </row>
    <row r="346" spans="1:17">
      <c r="N346"/>
      <c r="O346"/>
      <c r="P346"/>
      <c r="Q346"/>
    </row>
    <row r="347" spans="1:17">
      <c r="N347"/>
      <c r="O347"/>
      <c r="P347"/>
      <c r="Q347"/>
    </row>
    <row r="348" spans="1:17">
      <c r="N348"/>
      <c r="O348"/>
      <c r="P348"/>
      <c r="Q348"/>
    </row>
    <row r="349" spans="1:17">
      <c r="N349"/>
      <c r="O349"/>
      <c r="P349"/>
      <c r="Q349"/>
    </row>
    <row r="350" spans="1:17">
      <c r="N350"/>
      <c r="O350"/>
      <c r="P350"/>
      <c r="Q350"/>
    </row>
    <row r="351" spans="1:17">
      <c r="N351"/>
      <c r="O351"/>
      <c r="P351"/>
      <c r="Q351"/>
    </row>
    <row r="352" spans="1:17">
      <c r="N352"/>
      <c r="O352"/>
      <c r="P352"/>
      <c r="Q352"/>
    </row>
    <row r="353" spans="14:17">
      <c r="N353"/>
      <c r="O353"/>
      <c r="P353"/>
      <c r="Q353"/>
    </row>
    <row r="354" spans="14:17">
      <c r="N354"/>
      <c r="O354"/>
      <c r="P354"/>
      <c r="Q354"/>
    </row>
    <row r="355" spans="14:17">
      <c r="N355"/>
      <c r="O355"/>
      <c r="P355"/>
      <c r="Q355"/>
    </row>
    <row r="356" spans="14:17">
      <c r="N356"/>
      <c r="O356"/>
      <c r="P356"/>
      <c r="Q356"/>
    </row>
    <row r="357" spans="14:17">
      <c r="N357"/>
      <c r="O357"/>
      <c r="P357"/>
      <c r="Q357"/>
    </row>
    <row r="358" spans="14:17">
      <c r="N358"/>
      <c r="O358"/>
      <c r="P358"/>
      <c r="Q358"/>
    </row>
    <row r="359" spans="14:17">
      <c r="N359"/>
      <c r="O359"/>
      <c r="P359"/>
      <c r="Q359"/>
    </row>
    <row r="360" spans="14:17">
      <c r="N360"/>
      <c r="O360"/>
      <c r="P360"/>
      <c r="Q360"/>
    </row>
    <row r="361" spans="14:17">
      <c r="N361"/>
      <c r="O361"/>
      <c r="P361"/>
      <c r="Q361"/>
    </row>
    <row r="362" spans="14:17">
      <c r="N362"/>
      <c r="O362"/>
      <c r="P362"/>
      <c r="Q362"/>
    </row>
    <row r="363" spans="14:17">
      <c r="N363"/>
      <c r="O363"/>
      <c r="P363"/>
      <c r="Q363"/>
    </row>
    <row r="364" spans="14:17">
      <c r="N364"/>
      <c r="O364"/>
      <c r="P364"/>
      <c r="Q364"/>
    </row>
    <row r="365" spans="14:17">
      <c r="N365"/>
      <c r="O365"/>
      <c r="P365"/>
      <c r="Q365"/>
    </row>
    <row r="366" spans="14:17">
      <c r="N366"/>
      <c r="O366"/>
      <c r="P366"/>
      <c r="Q366"/>
    </row>
    <row r="367" spans="14:17">
      <c r="N367"/>
      <c r="O367"/>
      <c r="P367"/>
      <c r="Q367"/>
    </row>
    <row r="368" spans="14:17">
      <c r="N368"/>
      <c r="O368"/>
      <c r="P368"/>
      <c r="Q368"/>
    </row>
    <row r="369" spans="14:17">
      <c r="N369"/>
      <c r="O369"/>
      <c r="P369"/>
      <c r="Q369"/>
    </row>
    <row r="370" spans="14:17">
      <c r="N370"/>
      <c r="O370"/>
      <c r="P370"/>
      <c r="Q370"/>
    </row>
    <row r="371" spans="14:17">
      <c r="N371"/>
      <c r="O371"/>
      <c r="P371"/>
      <c r="Q371"/>
    </row>
    <row r="372" spans="14:17">
      <c r="N372"/>
      <c r="O372"/>
      <c r="P372"/>
      <c r="Q372"/>
    </row>
  </sheetData>
  <sheetProtection formatColumns="0" formatRows="0" insertColumns="0" insertRows="0"/>
  <mergeCells count="6">
    <mergeCell ref="A1:E1"/>
    <mergeCell ref="A2:E2"/>
    <mergeCell ref="N1:R1"/>
    <mergeCell ref="N2:R2"/>
    <mergeCell ref="H1:L1"/>
    <mergeCell ref="H2:L2"/>
  </mergeCells>
  <phoneticPr fontId="18" type="noConversion"/>
  <conditionalFormatting sqref="N4:N96">
    <cfRule type="expression" dxfId="4" priority="4">
      <formula>$R4="Out of Stock"</formula>
    </cfRule>
  </conditionalFormatting>
  <conditionalFormatting sqref="A4:A122">
    <cfRule type="expression" dxfId="3" priority="2">
      <formula>$F4="Out of Stock"</formula>
    </cfRule>
  </conditionalFormatting>
  <conditionalFormatting sqref="H4:H94">
    <cfRule type="expression" dxfId="2" priority="1">
      <formula>$L4="Out of Stock"</formula>
    </cfRule>
  </conditionalFormatting>
  <pageMargins left="0.7" right="0.7" top="0.75" bottom="0.75" header="0.3" footer="0.3"/>
  <pageSetup orientation="landscape" r:id="rId4"/>
  <drawing r:id="rId5"/>
  <legacyDrawing r:id="rId6"/>
  <controls>
    <mc:AlternateContent xmlns:mc="http://schemas.openxmlformats.org/markup-compatibility/2006">
      <mc:Choice Requires="x14">
        <control shapeId="12295" r:id="rId7" name="CommandButton1">
          <controlPr defaultSize="0" autoLine="0" r:id="rId8">
            <anchor moveWithCells="1">
              <from>
                <xdr:col>0</xdr:col>
                <xdr:colOff>1419225</xdr:colOff>
                <xdr:row>0</xdr:row>
                <xdr:rowOff>47625</xdr:rowOff>
              </from>
              <to>
                <xdr:col>3</xdr:col>
                <xdr:colOff>180975</xdr:colOff>
                <xdr:row>0</xdr:row>
                <xdr:rowOff>409575</xdr:rowOff>
              </to>
            </anchor>
          </controlPr>
        </control>
      </mc:Choice>
      <mc:Fallback>
        <control shapeId="12295" r:id="rId7" name="CommandButton1"/>
      </mc:Fallback>
    </mc:AlternateContent>
    <mc:AlternateContent xmlns:mc="http://schemas.openxmlformats.org/markup-compatibility/2006">
      <mc:Choice Requires="x14">
        <control shapeId="12297" r:id="rId9" name="CommandButton2">
          <controlPr defaultSize="0" autoLine="0" r:id="rId10">
            <anchor moveWithCells="1">
              <from>
                <xdr:col>7</xdr:col>
                <xdr:colOff>1819275</xdr:colOff>
                <xdr:row>0</xdr:row>
                <xdr:rowOff>47625</xdr:rowOff>
              </from>
              <to>
                <xdr:col>9</xdr:col>
                <xdr:colOff>428625</xdr:colOff>
                <xdr:row>0</xdr:row>
                <xdr:rowOff>409575</xdr:rowOff>
              </to>
            </anchor>
          </controlPr>
        </control>
      </mc:Choice>
      <mc:Fallback>
        <control shapeId="12297" r:id="rId9" name="CommandButton2"/>
      </mc:Fallback>
    </mc:AlternateContent>
    <mc:AlternateContent xmlns:mc="http://schemas.openxmlformats.org/markup-compatibility/2006">
      <mc:Choice Requires="x14">
        <control shapeId="12299" r:id="rId11" name="CommandButton3">
          <controlPr defaultSize="0" autoLine="0" r:id="rId12">
            <anchor moveWithCells="1">
              <from>
                <xdr:col>13</xdr:col>
                <xdr:colOff>1171575</xdr:colOff>
                <xdr:row>0</xdr:row>
                <xdr:rowOff>47625</xdr:rowOff>
              </from>
              <to>
                <xdr:col>15</xdr:col>
                <xdr:colOff>790575</xdr:colOff>
                <xdr:row>0</xdr:row>
                <xdr:rowOff>409575</xdr:rowOff>
              </to>
            </anchor>
          </controlPr>
        </control>
      </mc:Choice>
      <mc:Fallback>
        <control shapeId="12299" r:id="rId11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49B0-C4D8-42E1-A0D2-62AADA20EB45}">
  <sheetPr codeName="Sheet6">
    <pageSetUpPr fitToPage="1"/>
  </sheetPr>
  <dimension ref="C1:I15"/>
  <sheetViews>
    <sheetView tabSelected="1" workbookViewId="0">
      <selection activeCell="K6" sqref="K6"/>
    </sheetView>
  </sheetViews>
  <sheetFormatPr defaultRowHeight="16.5"/>
  <cols>
    <col min="1" max="1" width="9.140625" style="3"/>
    <col min="2" max="2" width="0" style="3" hidden="1" customWidth="1"/>
    <col min="3" max="3" width="9.140625" style="3" hidden="1" customWidth="1"/>
    <col min="4" max="4" width="37.28515625" style="3" customWidth="1"/>
    <col min="5" max="5" width="30.42578125" style="3" customWidth="1"/>
    <col min="6" max="6" width="14" style="3" customWidth="1"/>
    <col min="7" max="7" width="10.85546875" style="3" customWidth="1"/>
    <col min="8" max="8" width="12.85546875" style="3" customWidth="1"/>
    <col min="9" max="9" width="10.42578125" style="3" customWidth="1"/>
    <col min="10" max="16384" width="9.140625" style="3"/>
  </cols>
  <sheetData>
    <row r="1" spans="4:9" ht="16.5" customHeight="1">
      <c r="D1" s="25" t="s">
        <v>135</v>
      </c>
      <c r="E1" s="26"/>
      <c r="F1" s="26"/>
      <c r="G1" s="26"/>
      <c r="H1" s="26"/>
      <c r="I1" s="27"/>
    </row>
    <row r="2" spans="4:9" ht="39" customHeight="1" thickBot="1">
      <c r="D2" s="28"/>
      <c r="E2" s="29"/>
      <c r="F2" s="29"/>
      <c r="G2" s="29"/>
      <c r="H2" s="29"/>
      <c r="I2" s="30"/>
    </row>
    <row r="3" spans="4:9" ht="17.25" thickBot="1"/>
    <row r="4" spans="4:9" ht="17.25" thickBot="1">
      <c r="D4" s="6" t="s">
        <v>0</v>
      </c>
      <c r="E4" s="7" t="s">
        <v>342</v>
      </c>
      <c r="G4" s="31" t="s">
        <v>136</v>
      </c>
      <c r="H4" s="32"/>
      <c r="I4" s="8">
        <f>SUBTOTAL(9,PurchaseOrder[Subtotal])</f>
        <v>9.42</v>
      </c>
    </row>
    <row r="6" spans="4:9" ht="30.75" customHeight="1">
      <c r="D6" s="5" t="s">
        <v>137</v>
      </c>
      <c r="E6" s="5" t="s">
        <v>138</v>
      </c>
      <c r="F6" s="5" t="s">
        <v>139</v>
      </c>
      <c r="G6" s="5" t="s">
        <v>146</v>
      </c>
      <c r="H6" s="5" t="s">
        <v>145</v>
      </c>
      <c r="I6" s="5" t="s">
        <v>140</v>
      </c>
    </row>
    <row r="7" spans="4:9" hidden="1">
      <c r="D7" s="14"/>
      <c r="E7" s="5"/>
      <c r="F7" s="5"/>
      <c r="G7" s="5"/>
      <c r="H7" s="5"/>
      <c r="I7" s="5">
        <f>PurchaseOrder[[#This Row],[Unit $]]*PurchaseOrder[[#This Row],[Quantity]]</f>
        <v>0</v>
      </c>
    </row>
    <row r="8" spans="4:9">
      <c r="D8" s="33" t="s">
        <v>148</v>
      </c>
      <c r="E8" s="3" t="s">
        <v>147</v>
      </c>
      <c r="F8" s="3">
        <v>1</v>
      </c>
      <c r="G8" s="3">
        <v>9.42</v>
      </c>
      <c r="H8" s="5"/>
      <c r="I8" s="3">
        <f>PurchaseOrder[[#This Row],[Unit $]]*PurchaseOrder[[#This Row],[Quantity]]</f>
        <v>9.42</v>
      </c>
    </row>
    <row r="11" spans="4:9" ht="18.75">
      <c r="D11" s="4" t="s">
        <v>141</v>
      </c>
    </row>
    <row r="12" spans="4:9">
      <c r="D12" s="24" t="s">
        <v>142</v>
      </c>
      <c r="E12" s="24"/>
    </row>
    <row r="13" spans="4:9">
      <c r="D13" s="24"/>
      <c r="E13" s="24"/>
    </row>
    <row r="14" spans="4:9">
      <c r="D14" s="24" t="s">
        <v>143</v>
      </c>
      <c r="E14" s="24"/>
    </row>
    <row r="15" spans="4:9">
      <c r="D15" s="24" t="s">
        <v>144</v>
      </c>
      <c r="E15" s="24"/>
    </row>
  </sheetData>
  <mergeCells count="6">
    <mergeCell ref="D12:E12"/>
    <mergeCell ref="D13:E13"/>
    <mergeCell ref="D14:E14"/>
    <mergeCell ref="D15:E15"/>
    <mergeCell ref="D1:I2"/>
    <mergeCell ref="G4:H4"/>
  </mergeCells>
  <conditionalFormatting sqref="D8:I54">
    <cfRule type="expression" dxfId="1" priority="1">
      <formula>OR($E8="Wooden screws", $E8="Machine screws", $E8="Hex bolts", $E8="Misc", $E8="Bearing balls", $E8="Nuts",  $E8="Rivets",  $E8="Washers")</formula>
    </cfRule>
    <cfRule type="expression" dxfId="0" priority="4">
      <formula>OR($E8="Sensor", $E8="MCU", $E8="Communication", $E8="Component", $E8="Motor", $E8="Power", $E8="Hardware", $E8="Connect")</formula>
    </cfRule>
  </conditionalFormatting>
  <pageMargins left="0.7" right="0.7" top="0.75" bottom="0.75" header="0.3" footer="0.3"/>
  <pageSetup scale="78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5</xdr:col>
                <xdr:colOff>95250</xdr:colOff>
                <xdr:row>9</xdr:row>
                <xdr:rowOff>133350</xdr:rowOff>
              </from>
              <to>
                <xdr:col>8</xdr:col>
                <xdr:colOff>342900</xdr:colOff>
                <xdr:row>12</xdr:row>
                <xdr:rowOff>95250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5</xdr:col>
                <xdr:colOff>466725</xdr:colOff>
                <xdr:row>12</xdr:row>
                <xdr:rowOff>180975</xdr:rowOff>
              </from>
              <to>
                <xdr:col>7</xdr:col>
                <xdr:colOff>819150</xdr:colOff>
                <xdr:row>14</xdr:row>
                <xdr:rowOff>123825</xdr:rowOff>
              </to>
            </anchor>
          </controlPr>
        </control>
      </mc:Choice>
      <mc:Fallback>
        <control shapeId="20482" r:id="rId6" name="CommandButton2"/>
      </mc:Fallback>
    </mc:AlternateContent>
  </controls>
  <tableParts count="1"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2C313E4FC11F04C87516EFD2161F744" ma:contentTypeVersion="12" ma:contentTypeDescription="Create a new document." ma:contentTypeScope="" ma:versionID="4378b8588d190c88dc0aaca099229590">
  <xsd:schema xmlns:xsd="http://www.w3.org/2001/XMLSchema" xmlns:xs="http://www.w3.org/2001/XMLSchema" xmlns:p="http://schemas.microsoft.com/office/2006/metadata/properties" xmlns:ns2="416e0fd9-dfbf-44e6-a659-54b1814f7941" xmlns:ns3="37632fa0-411f-4886-b19a-0e04ec7fbf4f" targetNamespace="http://schemas.microsoft.com/office/2006/metadata/properties" ma:root="true" ma:fieldsID="bd2933d7e9fd92bbc9cb2b0a263bcb59" ns2:_="" ns3:_="">
    <xsd:import namespace="416e0fd9-dfbf-44e6-a659-54b1814f7941"/>
    <xsd:import namespace="37632fa0-411f-4886-b19a-0e04ec7fbf4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6e0fd9-dfbf-44e6-a659-54b1814f79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632fa0-411f-4886-b19a-0e04ec7fbf4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Filenam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B77122EE-AB7B-489D-99E7-061280585D8D}">
  <ds:schemaRefs>
    <ds:schemaRef ds:uri="416e0fd9-dfbf-44e6-a659-54b1814f7941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  <ds:schemaRef ds:uri="37632fa0-411f-4886-b19a-0e04ec7fbf4f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07CCBCB-D7A2-4A71-868B-593EDEBCBF5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681C4C8-5CA6-4449-83D2-319E113BFF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6e0fd9-dfbf-44e6-a659-54b1814f7941"/>
    <ds:schemaRef ds:uri="37632fa0-411f-4886-b19a-0e04ec7fbf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F721F70-8DB4-4567-B581-0F9C0A1B07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OrdersNew</vt:lpstr>
      <vt:lpstr>PurchaseOrder</vt:lpstr>
      <vt:lpstr>PurchaseOrder!Print_Area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FF_Design</dc:creator>
  <cp:keywords/>
  <dc:description/>
  <cp:lastModifiedBy>Regis Zhao</cp:lastModifiedBy>
  <cp:revision/>
  <cp:lastPrinted>2022-01-12T22:15:07Z</cp:lastPrinted>
  <dcterms:created xsi:type="dcterms:W3CDTF">2021-03-10T00:23:29Z</dcterms:created>
  <dcterms:modified xsi:type="dcterms:W3CDTF">2022-01-12T22:33:30Z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0x01010012C313E4FC11F04C87516EFD2161F744</vt:lpwstr>
  </property>
</Properties>
</file>